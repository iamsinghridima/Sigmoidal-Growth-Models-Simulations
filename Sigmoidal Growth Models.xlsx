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SER-M Stuff\Protein &amp; Systems Biology Lab (KC)\(1) NAT\"/>
    </mc:Choice>
  </mc:AlternateContent>
  <xr:revisionPtr revIDLastSave="0" documentId="13_ncr:1_{B3AC6888-6EA5-47E4-83B5-7BBC70D06960}" xr6:coauthVersionLast="47" xr6:coauthVersionMax="47" xr10:uidLastSave="{00000000-0000-0000-0000-000000000000}"/>
  <bookViews>
    <workbookView xWindow="-108" yWindow="-108" windowWidth="23256" windowHeight="12456" activeTab="2" xr2:uid="{2C48EAE1-2D92-4506-8DBB-DE490EAA3DDD}"/>
  </bookViews>
  <sheets>
    <sheet name="Logistic Model" sheetId="1" r:id="rId1"/>
    <sheet name="Gompertz Model" sheetId="2" r:id="rId2"/>
    <sheet name="Baranyi-Roberts Model" sheetId="4" r:id="rId3"/>
    <sheet name="Richard's Model" sheetId="5" r:id="rId4"/>
    <sheet name="Von Bertalanffy Model" sheetId="6" r:id="rId5"/>
    <sheet name="Cite Link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6" i="4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6" i="2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6" i="5"/>
  <c r="B6" i="5"/>
  <c r="B7" i="5"/>
  <c r="B6" i="2"/>
  <c r="C6" i="2" s="1"/>
  <c r="B7" i="2"/>
  <c r="C7" i="2" s="1"/>
  <c r="B6" i="1"/>
  <c r="B7" i="1"/>
  <c r="B28" i="6"/>
  <c r="C28" i="6"/>
  <c r="D28" i="6"/>
  <c r="B29" i="6"/>
  <c r="B30" i="6"/>
  <c r="B25" i="6"/>
  <c r="B26" i="6"/>
  <c r="B27" i="6"/>
  <c r="B23" i="6"/>
  <c r="B24" i="6"/>
  <c r="B6" i="6"/>
  <c r="C6" i="6" s="1"/>
  <c r="B7" i="6"/>
  <c r="B8" i="6"/>
  <c r="B9" i="6"/>
  <c r="B10" i="6"/>
  <c r="B11" i="6"/>
  <c r="B12" i="6"/>
  <c r="B13" i="6"/>
  <c r="C13" i="6" s="1"/>
  <c r="B14" i="6"/>
  <c r="C14" i="6" s="1"/>
  <c r="B15" i="6"/>
  <c r="C15" i="6" s="1"/>
  <c r="B16" i="6"/>
  <c r="C16" i="6" s="1"/>
  <c r="B17" i="6"/>
  <c r="C17" i="6" s="1"/>
  <c r="B18" i="6"/>
  <c r="B19" i="6"/>
  <c r="B20" i="6"/>
  <c r="B21" i="6"/>
  <c r="B22" i="6"/>
  <c r="C22" i="6" s="1"/>
  <c r="B35" i="5"/>
  <c r="B31" i="5"/>
  <c r="B32" i="5"/>
  <c r="B33" i="5"/>
  <c r="B34" i="5"/>
  <c r="B29" i="5"/>
  <c r="B30" i="5"/>
  <c r="B27" i="5"/>
  <c r="B28" i="5"/>
  <c r="B21" i="5"/>
  <c r="B22" i="5"/>
  <c r="B23" i="5"/>
  <c r="B24" i="5"/>
  <c r="B25" i="5"/>
  <c r="B26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36" i="1"/>
  <c r="B32" i="2"/>
  <c r="C32" i="2" s="1"/>
  <c r="C40" i="4"/>
  <c r="E40" i="4" s="1"/>
  <c r="C27" i="4"/>
  <c r="E27" i="4" s="1"/>
  <c r="C28" i="4"/>
  <c r="E28" i="4" s="1"/>
  <c r="C29" i="4"/>
  <c r="E29" i="4" s="1"/>
  <c r="C30" i="4"/>
  <c r="E30" i="4" s="1"/>
  <c r="C31" i="4"/>
  <c r="E31" i="4" s="1"/>
  <c r="C32" i="4"/>
  <c r="E32" i="4" s="1"/>
  <c r="C33" i="4"/>
  <c r="E33" i="4" s="1"/>
  <c r="C34" i="4"/>
  <c r="E34" i="4" s="1"/>
  <c r="C36" i="4"/>
  <c r="E36" i="4" s="1"/>
  <c r="C37" i="4"/>
  <c r="E37" i="4" s="1"/>
  <c r="C38" i="4"/>
  <c r="E38" i="4" s="1"/>
  <c r="C20" i="4"/>
  <c r="E20" i="4" s="1"/>
  <c r="C21" i="4"/>
  <c r="E21" i="4" s="1"/>
  <c r="C22" i="4"/>
  <c r="E22" i="4" s="1"/>
  <c r="C18" i="4"/>
  <c r="E18" i="4" s="1"/>
  <c r="C19" i="4"/>
  <c r="E19" i="4" s="1"/>
  <c r="C12" i="4"/>
  <c r="E12" i="4" s="1"/>
  <c r="C13" i="4"/>
  <c r="E13" i="4" s="1"/>
  <c r="C14" i="4"/>
  <c r="E14" i="4" s="1"/>
  <c r="C15" i="4"/>
  <c r="E15" i="4" s="1"/>
  <c r="C16" i="4"/>
  <c r="E16" i="4" s="1"/>
  <c r="C17" i="4"/>
  <c r="E17" i="4" s="1"/>
  <c r="C8" i="4"/>
  <c r="E8" i="4" s="1"/>
  <c r="C9" i="4"/>
  <c r="E9" i="4" s="1"/>
  <c r="C10" i="4"/>
  <c r="E10" i="4" s="1"/>
  <c r="C11" i="4"/>
  <c r="E11" i="4" s="1"/>
  <c r="B28" i="2"/>
  <c r="C28" i="2" s="1"/>
  <c r="B29" i="2"/>
  <c r="C29" i="2" s="1"/>
  <c r="B30" i="2"/>
  <c r="C30" i="2" s="1"/>
  <c r="B31" i="2"/>
  <c r="C31" i="2" s="1"/>
  <c r="B25" i="2"/>
  <c r="C25" i="2" s="1"/>
  <c r="B26" i="2"/>
  <c r="C26" i="2" s="1"/>
  <c r="B27" i="2"/>
  <c r="C27" i="2" s="1"/>
  <c r="B21" i="2"/>
  <c r="C21" i="2" s="1"/>
  <c r="B22" i="2"/>
  <c r="C22" i="2" s="1"/>
  <c r="B23" i="2"/>
  <c r="C23" i="2" s="1"/>
  <c r="B24" i="2"/>
  <c r="C24" i="2" s="1"/>
  <c r="B17" i="2"/>
  <c r="C17" i="2" s="1"/>
  <c r="B18" i="2"/>
  <c r="C18" i="2" s="1"/>
  <c r="B19" i="2"/>
  <c r="C19" i="2" s="1"/>
  <c r="B20" i="2"/>
  <c r="C20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33" i="1"/>
  <c r="B34" i="1"/>
  <c r="B35" i="1"/>
  <c r="B30" i="1"/>
  <c r="B31" i="1"/>
  <c r="B32" i="1"/>
  <c r="B28" i="1"/>
  <c r="B29" i="1"/>
  <c r="B24" i="1"/>
  <c r="B25" i="1"/>
  <c r="B26" i="1"/>
  <c r="B27" i="1"/>
  <c r="B17" i="1"/>
  <c r="B18" i="1"/>
  <c r="B19" i="1"/>
  <c r="B20" i="1"/>
  <c r="B21" i="1"/>
  <c r="B22" i="1"/>
  <c r="B23" i="1"/>
  <c r="B9" i="1"/>
  <c r="B16" i="1"/>
  <c r="B8" i="1"/>
  <c r="B10" i="1"/>
  <c r="B11" i="1"/>
  <c r="B12" i="1"/>
  <c r="B13" i="1"/>
  <c r="B14" i="1"/>
  <c r="B15" i="1"/>
  <c r="C23" i="4" l="1"/>
  <c r="C24" i="4"/>
  <c r="C25" i="4"/>
  <c r="C39" i="4"/>
  <c r="C7" i="4"/>
  <c r="C8" i="5"/>
  <c r="C9" i="5"/>
  <c r="C10" i="5"/>
  <c r="C19" i="6"/>
  <c r="D19" i="6"/>
  <c r="C30" i="6"/>
  <c r="D30" i="6"/>
  <c r="C26" i="6"/>
  <c r="D26" i="6"/>
  <c r="C7" i="6"/>
  <c r="D7" i="6"/>
  <c r="D29" i="6"/>
  <c r="C29" i="6"/>
  <c r="C24" i="6"/>
  <c r="D24" i="6"/>
  <c r="D20" i="6"/>
  <c r="C20" i="6"/>
  <c r="D21" i="6"/>
  <c r="C21" i="6"/>
  <c r="C27" i="6"/>
  <c r="D27" i="6"/>
  <c r="C23" i="6"/>
  <c r="D23" i="6"/>
  <c r="D8" i="6"/>
  <c r="C8" i="6"/>
  <c r="D9" i="6"/>
  <c r="C9" i="6"/>
  <c r="D10" i="6"/>
  <c r="C10" i="6"/>
  <c r="D11" i="6"/>
  <c r="C11" i="6"/>
  <c r="D12" i="6"/>
  <c r="C12" i="6"/>
  <c r="D18" i="6"/>
  <c r="C18" i="6"/>
  <c r="C35" i="5"/>
  <c r="C31" i="5"/>
  <c r="C32" i="5"/>
  <c r="C33" i="5"/>
  <c r="C34" i="5"/>
  <c r="C29" i="5"/>
  <c r="C30" i="5"/>
  <c r="C27" i="5"/>
  <c r="C28" i="5"/>
  <c r="C21" i="5"/>
  <c r="C22" i="5"/>
  <c r="C23" i="5"/>
  <c r="C24" i="5"/>
  <c r="C25" i="5"/>
  <c r="C26" i="5"/>
  <c r="C11" i="5"/>
  <c r="C12" i="5"/>
  <c r="C13" i="5"/>
  <c r="C14" i="5"/>
  <c r="C15" i="5"/>
  <c r="C16" i="5"/>
  <c r="C17" i="5"/>
  <c r="C18" i="5"/>
  <c r="C19" i="5"/>
  <c r="C20" i="5"/>
  <c r="D40" i="4"/>
  <c r="D27" i="4"/>
  <c r="D28" i="4"/>
  <c r="D29" i="4"/>
  <c r="D30" i="4"/>
  <c r="D31" i="4"/>
  <c r="D32" i="4"/>
  <c r="D33" i="4"/>
  <c r="D34" i="4"/>
  <c r="D36" i="4"/>
  <c r="D37" i="4"/>
  <c r="D38" i="4"/>
  <c r="D20" i="4"/>
  <c r="D21" i="4"/>
  <c r="D22" i="4"/>
  <c r="D18" i="4"/>
  <c r="D19" i="4"/>
  <c r="D12" i="4"/>
  <c r="D13" i="4"/>
  <c r="D14" i="4"/>
  <c r="D15" i="4"/>
  <c r="D16" i="4"/>
  <c r="D17" i="4"/>
  <c r="D8" i="4"/>
  <c r="D9" i="4"/>
  <c r="D10" i="4"/>
  <c r="D11" i="4"/>
  <c r="C36" i="1"/>
  <c r="D36" i="1"/>
  <c r="C28" i="1"/>
  <c r="D28" i="1"/>
  <c r="C6" i="5"/>
  <c r="C7" i="5"/>
  <c r="C25" i="6"/>
  <c r="D25" i="6"/>
  <c r="D22" i="6"/>
  <c r="D16" i="6"/>
  <c r="D17" i="6"/>
  <c r="D13" i="6"/>
  <c r="D14" i="6"/>
  <c r="D15" i="6"/>
  <c r="D6" i="6"/>
  <c r="C26" i="4"/>
  <c r="E26" i="4" s="1"/>
  <c r="C35" i="4"/>
  <c r="E35" i="4" s="1"/>
  <c r="C31" i="1"/>
  <c r="D31" i="1"/>
  <c r="D6" i="1"/>
  <c r="C6" i="1"/>
  <c r="C26" i="1"/>
  <c r="D26" i="1"/>
  <c r="C21" i="1"/>
  <c r="D21" i="1"/>
  <c r="D7" i="1"/>
  <c r="C7" i="1"/>
  <c r="D33" i="1"/>
  <c r="C33" i="1"/>
  <c r="D34" i="1"/>
  <c r="C34" i="1"/>
  <c r="C35" i="1"/>
  <c r="D35" i="1"/>
  <c r="C24" i="1"/>
  <c r="D24" i="1"/>
  <c r="C17" i="1"/>
  <c r="D17" i="1"/>
  <c r="C22" i="1"/>
  <c r="D22" i="1"/>
  <c r="C30" i="1"/>
  <c r="D30" i="1"/>
  <c r="D32" i="1"/>
  <c r="C32" i="1"/>
  <c r="D29" i="1"/>
  <c r="C29" i="1"/>
  <c r="D25" i="1"/>
  <c r="C25" i="1"/>
  <c r="C19" i="1"/>
  <c r="D19" i="1"/>
  <c r="C20" i="1"/>
  <c r="D20" i="1"/>
  <c r="C23" i="1"/>
  <c r="D23" i="1"/>
  <c r="D16" i="1"/>
  <c r="C16" i="1"/>
  <c r="D8" i="1"/>
  <c r="C8" i="1"/>
  <c r="D10" i="1"/>
  <c r="C10" i="1"/>
  <c r="C11" i="1"/>
  <c r="D11" i="1"/>
  <c r="D12" i="1"/>
  <c r="C12" i="1"/>
  <c r="D13" i="1"/>
  <c r="C13" i="1"/>
  <c r="D14" i="1"/>
  <c r="C14" i="1"/>
  <c r="D15" i="1"/>
  <c r="C15" i="1"/>
  <c r="C27" i="1"/>
  <c r="D27" i="1"/>
  <c r="C18" i="1"/>
  <c r="D18" i="1"/>
  <c r="D9" i="1"/>
  <c r="C9" i="1"/>
  <c r="D23" i="4" l="1"/>
  <c r="E23" i="4"/>
  <c r="D24" i="4"/>
  <c r="E24" i="4"/>
  <c r="D25" i="4"/>
  <c r="E25" i="4"/>
  <c r="D39" i="4"/>
  <c r="E39" i="4"/>
  <c r="D7" i="4"/>
  <c r="E7" i="4"/>
  <c r="D26" i="4"/>
  <c r="D35" i="4"/>
  <c r="C6" i="4" l="1"/>
  <c r="D6" i="4" l="1"/>
  <c r="E6" i="4"/>
</calcChain>
</file>

<file path=xl/sharedStrings.xml><?xml version="1.0" encoding="utf-8"?>
<sst xmlns="http://schemas.openxmlformats.org/spreadsheetml/2006/main" count="65" uniqueCount="27">
  <si>
    <t>t</t>
  </si>
  <si>
    <t>N(t)</t>
  </si>
  <si>
    <t>N(t+1)</t>
  </si>
  <si>
    <t>k=</t>
  </si>
  <si>
    <t>r=</t>
  </si>
  <si>
    <t>N(0)=</t>
  </si>
  <si>
    <t>dN/dt</t>
  </si>
  <si>
    <t>https://pmc.ncbi.nlm.nih.gov/articles/PMC7053935/</t>
  </si>
  <si>
    <t>Cite Link</t>
  </si>
  <si>
    <t>Citations</t>
  </si>
  <si>
    <t>Kawano, T., Wallbridge, N., &amp; Plummer, C. (2020). Logistic Models for Simulating the Growth of Plants by Defining the Maximum Plant Size as the Limit of Information Flow. Plant signaling &amp; behavior, 15(2), 1709718. https://doi.org/10.1080/15592324.2019.1709718</t>
  </si>
  <si>
    <t>Tjørve, K. M. C., &amp; Tjørve, E. (2017). The use of Gompertz models in growth analyses, and new Gompertz-model approach: An addition to the Unified-Richards family. PloS one, 12(6), e0178691. https://doi.org/10.1371/journal.pone.0178691</t>
  </si>
  <si>
    <t>https://www.pnas.org/doi/pdf/10.1073/pnas.18.1.1</t>
  </si>
  <si>
    <t>Microbial lag calculator</t>
  </si>
  <si>
    <t>https://besjournals.onlinelibrary.wiley.com/doi/full/10.1111/2041-210X.14269</t>
  </si>
  <si>
    <t>Smug, B. J., Opalek, M., Necki, M., &amp; Wloch-Salamon, D. (2024). Microbial lag calculator: A shiny-based application and an R package for calculating the duration of microbial lag phase. Methods in Ecology and Evolution, 15, 301–307. https://doi.org/10.1111/2041-210X.14269</t>
  </si>
  <si>
    <t>https://cran.r-project.org/web/packages/biogrowth/vignettes/v21_math_models.html</t>
  </si>
  <si>
    <t>Modelling approach</t>
  </si>
  <si>
    <t>https://pmc.ncbi.nlm.nih.gov/articles/PMC5459448/</t>
  </si>
  <si>
    <t>K=</t>
  </si>
  <si>
    <t>A(t)</t>
  </si>
  <si>
    <t>N(max)=</t>
  </si>
  <si>
    <t>mu(max)=</t>
  </si>
  <si>
    <t>h(0)=</t>
  </si>
  <si>
    <t>lamda=</t>
  </si>
  <si>
    <t>theta=</t>
  </si>
  <si>
    <t>N(infintite)=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</si>
</sst>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'Logistic Model'!$B$5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'Logistic Model'!$A$6:$A$17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'Logistic Model'!$B$6:$B$17</c:f>
              <c:numCache>
                <c:formatCode>General</c:formatCode>
                <c:ptCount val="12"/>
                <c:pt idx="0">
                  <c:v>5</c:v>
                </c:pt>
                <c:pt idx="1">
                  <c:v>13.475634453255298</c:v>
                </c:pt>
                <c:pt idx="2">
                  <c:v>35.801588701431804</c:v>
                </c:pt>
                <c:pt idx="3">
                  <c:v>91.678972538610552</c:v>
                </c:pt>
                <c:pt idx="4">
                  <c:v>215.29396025171511</c:v>
                </c:pt>
                <c:pt idx="5">
                  <c:v>427.19498445583173</c:v>
                </c:pt>
                <c:pt idx="6">
                  <c:v>669.67050355238405</c:v>
                </c:pt>
                <c:pt idx="7">
                  <c:v>846.40714178589133</c:v>
                </c:pt>
                <c:pt idx="8">
                  <c:v>937.42055687184506</c:v>
                </c:pt>
                <c:pt idx="9">
                  <c:v>976.03011463916641</c:v>
                </c:pt>
                <c:pt idx="10">
                  <c:v>991.0463068879078</c:v>
                </c:pt>
                <c:pt idx="11">
                  <c:v>996.68737152214476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B9-4B75-B951-5DB92C13F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219904"/>
        <c:axId val="2137220384"/>
      </c:scatterChart>
      <c:valAx>
        <c:axId val="213721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20384"/>
        <c:crosses val="autoZero"/>
        <c:crossBetween val="midCat"/>
      </c:valAx>
      <c:valAx>
        <c:axId val="21372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1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'Logistic Model'!$B$5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'Logistic Model'!$A$6:$A$35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'Logistic Model'!$B$6:$B$35</c:f>
              <c:numCache>
                <c:formatCode>General</c:formatCode>
                <c:ptCount val="30"/>
                <c:pt idx="0">
                  <c:v>5</c:v>
                </c:pt>
                <c:pt idx="1">
                  <c:v>13.475634453255298</c:v>
                </c:pt>
                <c:pt idx="2">
                  <c:v>35.801588701431804</c:v>
                </c:pt>
                <c:pt idx="3">
                  <c:v>91.678972538610552</c:v>
                </c:pt>
                <c:pt idx="4">
                  <c:v>215.29396025171511</c:v>
                </c:pt>
                <c:pt idx="5">
                  <c:v>427.19498445583173</c:v>
                </c:pt>
                <c:pt idx="6">
                  <c:v>669.67050355238405</c:v>
                </c:pt>
                <c:pt idx="7">
                  <c:v>846.40714178589133</c:v>
                </c:pt>
                <c:pt idx="8">
                  <c:v>937.42055687184506</c:v>
                </c:pt>
                <c:pt idx="9">
                  <c:v>976.03011463916641</c:v>
                </c:pt>
                <c:pt idx="10">
                  <c:v>991.0463068879078</c:v>
                </c:pt>
                <c:pt idx="11">
                  <c:v>996.68737152214476</c:v>
                </c:pt>
                <c:pt idx="12">
                  <c:v>998.77879490702787</c:v>
                </c:pt>
                <c:pt idx="13">
                  <c:v>999.55039668207928</c:v>
                </c:pt>
                <c:pt idx="14">
                  <c:v>999.83455316208403</c:v>
                </c:pt>
                <c:pt idx="15">
                  <c:v>999.93912914370685</c:v>
                </c:pt>
                <c:pt idx="16">
                  <c:v>999.97760600173331</c:v>
                </c:pt>
                <c:pt idx="17">
                  <c:v>999.9917615918115</c:v>
                </c:pt>
                <c:pt idx="18">
                  <c:v>999.9969692432162</c:v>
                </c:pt>
                <c:pt idx="19">
                  <c:v>999.998885044752</c:v>
                </c:pt>
                <c:pt idx="20">
                  <c:v>999.9995898305973</c:v>
                </c:pt>
                <c:pt idx="21">
                  <c:v>999.99984910707019</c:v>
                </c:pt>
                <c:pt idx="22">
                  <c:v>999.99994448958796</c:v>
                </c:pt>
                <c:pt idx="23">
                  <c:v>999.99997957885989</c:v>
                </c:pt>
                <c:pt idx="24">
                  <c:v>999.99999248748236</c:v>
                </c:pt>
                <c:pt idx="25">
                  <c:v>999.99999723629924</c:v>
                </c:pt>
                <c:pt idx="26">
                  <c:v>999.99999898329133</c:v>
                </c:pt>
                <c:pt idx="27">
                  <c:v>999.99999962597383</c:v>
                </c:pt>
                <c:pt idx="28">
                  <c:v>999.99999986240346</c:v>
                </c:pt>
                <c:pt idx="29">
                  <c:v>999.99999994938116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11-448F-81E0-0C7F150D6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359056"/>
        <c:axId val="239359536"/>
      </c:scatterChart>
      <c:valAx>
        <c:axId val="23935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59536"/>
        <c:crosses val="autoZero"/>
        <c:crossBetween val="midCat"/>
      </c:valAx>
      <c:valAx>
        <c:axId val="2393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5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'Logistic Model'!$D$5</c:f>
              <c:strCache>
                <c:ptCount val="1"/>
                <c:pt idx="0">
                  <c:v>dN/dt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'Logistic Model'!$A$6:$A$36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'Logistic Model'!$D$6:$D$36</c:f>
              <c:numCache>
                <c:formatCode>General</c:formatCode>
                <c:ptCount val="31"/>
                <c:pt idx="0">
                  <c:v>4.9749999999999996</c:v>
                </c:pt>
                <c:pt idx="1">
                  <c:v>13.294041729337534</c:v>
                </c:pt>
                <c:pt idx="2">
                  <c:v>34.519834947885315</c:v>
                </c:pt>
                <c:pt idx="3">
                  <c:v>83.273938532875249</c:v>
                </c:pt>
                <c:pt idx="4">
                  <c:v>168.94247093084803</c:v>
                </c:pt>
                <c:pt idx="5">
                  <c:v>244.69942971161342</c:v>
                </c:pt>
                <c:pt idx="6">
                  <c:v>221.21192022428042</c:v>
                </c:pt>
                <c:pt idx="7">
                  <c:v>130.00209211972938</c:v>
                </c:pt>
                <c:pt idx="8">
                  <c:v>58.663256425924949</c:v>
                </c:pt>
                <c:pt idx="9">
                  <c:v>23.395329956622081</c:v>
                </c:pt>
                <c:pt idx="10">
                  <c:v>8.8735244917466698</c:v>
                </c:pt>
                <c:pt idx="11">
                  <c:v>3.3016549704229443</c:v>
                </c:pt>
                <c:pt idx="12">
                  <c:v>1.219713751093026</c:v>
                </c:pt>
                <c:pt idx="13">
                  <c:v>0.44940117477723351</c:v>
                </c:pt>
                <c:pt idx="14">
                  <c:v>0.16541946525978887</c:v>
                </c:pt>
                <c:pt idx="15">
                  <c:v>6.0867151032003838E-2</c:v>
                </c:pt>
                <c:pt idx="16">
                  <c:v>2.2393496775535048E-2</c:v>
                </c:pt>
                <c:pt idx="17">
                  <c:v>8.2383403171343746E-3</c:v>
                </c:pt>
                <c:pt idx="18">
                  <c:v>3.0307475983141429E-3</c:v>
                </c:pt>
                <c:pt idx="19">
                  <c:v>1.1149540048740003E-3</c:v>
                </c:pt>
                <c:pt idx="20">
                  <c:v>4.10169234459618E-4</c:v>
                </c:pt>
                <c:pt idx="21">
                  <c:v>1.5089290704106651E-4</c:v>
                </c:pt>
                <c:pt idx="22">
                  <c:v>5.5510408958033117E-5</c:v>
                </c:pt>
                <c:pt idx="23">
                  <c:v>2.0421139689895793E-5</c:v>
                </c:pt>
                <c:pt idx="24">
                  <c:v>7.512517584423995E-6</c:v>
                </c:pt>
                <c:pt idx="25">
                  <c:v>2.7637007557149303E-6</c:v>
                </c:pt>
                <c:pt idx="26">
                  <c:v>1.0167086646683298E-6</c:v>
                </c:pt>
                <c:pt idx="27">
                  <c:v>3.7402617167225178E-7</c:v>
                </c:pt>
                <c:pt idx="28">
                  <c:v>1.3759654391759171E-7</c:v>
                </c:pt>
                <c:pt idx="29">
                  <c:v>5.0618837119311826E-8</c:v>
                </c:pt>
                <c:pt idx="30">
                  <c:v>1.8621790331616213E-8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B-40B4-8DBE-CA3F6A5E2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46831"/>
        <c:axId val="1152547311"/>
      </c:scatterChart>
      <c:valAx>
        <c:axId val="115254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47311"/>
        <c:crosses val="autoZero"/>
        <c:crossBetween val="midCat"/>
      </c:valAx>
      <c:valAx>
        <c:axId val="115254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4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'Gompertz Model'!$B$5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'Gompertz Model'!$A$6:$A$12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'Gompertz Model'!$B$6:$B$12</c:f>
              <c:numCache>
                <c:formatCode>General</c:formatCode>
                <c:ptCount val="7"/>
                <c:pt idx="0">
                  <c:v>5.0000000000000018</c:v>
                </c:pt>
                <c:pt idx="1">
                  <c:v>142.39619057322122</c:v>
                </c:pt>
                <c:pt idx="2">
                  <c:v>488.19064595501203</c:v>
                </c:pt>
                <c:pt idx="3">
                  <c:v>768.13660622512748</c:v>
                </c:pt>
                <c:pt idx="4">
                  <c:v>907.51782822999132</c:v>
                </c:pt>
                <c:pt idx="5">
                  <c:v>964.92993972486818</c:v>
                </c:pt>
                <c:pt idx="6">
                  <c:v>986.95264866956438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00-40A4-9D29-B3BE86BF6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22928"/>
        <c:axId val="126120528"/>
      </c:scatterChart>
      <c:valAx>
        <c:axId val="12612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0528"/>
        <c:crosses val="autoZero"/>
        <c:crossBetween val="midCat"/>
      </c:valAx>
      <c:valAx>
        <c:axId val="12612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'Gompertz Model'!$B$5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'Gompertz Model'!$A$6:$A$31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'Gompertz Model'!$B$6:$B$31</c:f>
              <c:numCache>
                <c:formatCode>General</c:formatCode>
                <c:ptCount val="26"/>
                <c:pt idx="0">
                  <c:v>5.0000000000000018</c:v>
                </c:pt>
                <c:pt idx="1">
                  <c:v>142.39619057322122</c:v>
                </c:pt>
                <c:pt idx="2">
                  <c:v>488.19064595501203</c:v>
                </c:pt>
                <c:pt idx="3">
                  <c:v>768.13660622512748</c:v>
                </c:pt>
                <c:pt idx="4">
                  <c:v>907.51782822999132</c:v>
                </c:pt>
                <c:pt idx="5">
                  <c:v>964.92993972486818</c:v>
                </c:pt>
                <c:pt idx="6">
                  <c:v>986.95264866956438</c:v>
                </c:pt>
                <c:pt idx="7">
                  <c:v>995.18021257827456</c:v>
                </c:pt>
                <c:pt idx="8">
                  <c:v>998.22419115045034</c:v>
                </c:pt>
                <c:pt idx="9">
                  <c:v>999.34634941448758</c:v>
                </c:pt>
                <c:pt idx="10">
                  <c:v>999.75948569190405</c:v>
                </c:pt>
                <c:pt idx="11">
                  <c:v>999.91151300385741</c:v>
                </c:pt>
                <c:pt idx="12">
                  <c:v>999.96744654285988</c:v>
                </c:pt>
                <c:pt idx="13">
                  <c:v>999.98802412916018</c:v>
                </c:pt>
                <c:pt idx="14">
                  <c:v>999.99559430665181</c:v>
                </c:pt>
                <c:pt idx="15">
                  <c:v>999.99837923373627</c:v>
                </c:pt>
                <c:pt idx="16">
                  <c:v>999.99940375310712</c:v>
                </c:pt>
                <c:pt idx="17">
                  <c:v>999.9997806529849</c:v>
                </c:pt>
                <c:pt idx="18">
                  <c:v>999.99991930673707</c:v>
                </c:pt>
                <c:pt idx="19">
                  <c:v>999.9999703146068</c:v>
                </c:pt>
                <c:pt idx="20">
                  <c:v>999.99998907935401</c:v>
                </c:pt>
                <c:pt idx="21">
                  <c:v>999.99999598251884</c:v>
                </c:pt>
                <c:pt idx="22">
                  <c:v>999.99999852205121</c:v>
                </c:pt>
                <c:pt idx="23">
                  <c:v>999.99999945629304</c:v>
                </c:pt>
                <c:pt idx="24">
                  <c:v>999.99999979998142</c:v>
                </c:pt>
                <c:pt idx="25">
                  <c:v>999.99999992641733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EC-4F4D-8352-21DED5565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76384"/>
        <c:axId val="255876864"/>
      </c:scatterChart>
      <c:valAx>
        <c:axId val="25587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76864"/>
        <c:crosses val="autoZero"/>
        <c:crossBetween val="midCat"/>
      </c:valAx>
      <c:valAx>
        <c:axId val="25587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7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'Gompertz Model'!$D$5</c:f>
              <c:strCache>
                <c:ptCount val="1"/>
                <c:pt idx="0">
                  <c:v>dN/dt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'Gompertz Model'!$A$6:$A$32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'Gompertz Model'!$D$6:$D$32</c:f>
              <c:numCache>
                <c:formatCode>General</c:formatCode>
                <c:ptCount val="27"/>
                <c:pt idx="0">
                  <c:v>26.49158683274019</c:v>
                </c:pt>
                <c:pt idx="1">
                  <c:v>277.55040023648849</c:v>
                </c:pt>
                <c:pt idx="2">
                  <c:v>350.05675190692864</c:v>
                </c:pt>
                <c:pt idx="3">
                  <c:v>202.62498016398371</c:v>
                </c:pt>
                <c:pt idx="4">
                  <c:v>88.06740643856962</c:v>
                </c:pt>
                <c:pt idx="5">
                  <c:v>34.44778810760905</c:v>
                </c:pt>
                <c:pt idx="6">
                  <c:v>12.961862025598448</c:v>
                </c:pt>
                <c:pt idx="7">
                  <c:v>4.8081535403369084</c:v>
                </c:pt>
                <c:pt idx="8">
                  <c:v>1.7742311668503388</c:v>
                </c:pt>
                <c:pt idx="9">
                  <c:v>0.65343690940684152</c:v>
                </c:pt>
                <c:pt idx="10">
                  <c:v>0.24048538221061708</c:v>
                </c:pt>
                <c:pt idx="11">
                  <c:v>8.8483081052960821E-2</c:v>
                </c:pt>
                <c:pt idx="12">
                  <c:v>3.2552927270599372E-2</c:v>
                </c:pt>
                <c:pt idx="13">
                  <c:v>1.1975799128721367E-2</c:v>
                </c:pt>
                <c:pt idx="14">
                  <c:v>4.4056836430923802E-3</c:v>
                </c:pt>
                <c:pt idx="15">
                  <c:v>1.6207649503234337E-3</c:v>
                </c:pt>
                <c:pt idx="16">
                  <c:v>5.9624671519751637E-4</c:v>
                </c:pt>
                <c:pt idx="17">
                  <c:v>2.1934699100981618E-4</c:v>
                </c:pt>
                <c:pt idx="18">
                  <c:v>8.0693259632640685E-5</c:v>
                </c:pt>
                <c:pt idx="19">
                  <c:v>2.9685392820997113E-5</c:v>
                </c:pt>
                <c:pt idx="20">
                  <c:v>1.0920645986255997E-5</c:v>
                </c:pt>
                <c:pt idx="21">
                  <c:v>4.0174812123631841E-6</c:v>
                </c:pt>
                <c:pt idx="22">
                  <c:v>1.4779488711189524E-6</c:v>
                </c:pt>
                <c:pt idx="23">
                  <c:v>5.4370685687099304E-7</c:v>
                </c:pt>
                <c:pt idx="24">
                  <c:v>2.0001866823487673E-7</c:v>
                </c:pt>
                <c:pt idx="25">
                  <c:v>7.3582695484169733E-8</c:v>
                </c:pt>
                <c:pt idx="26">
                  <c:v>2.7069457785311432E-8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1F-49D4-BE2B-13A8623DE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61711"/>
        <c:axId val="1152562671"/>
      </c:scatterChart>
      <c:valAx>
        <c:axId val="115256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62671"/>
        <c:crosses val="autoZero"/>
        <c:crossBetween val="midCat"/>
      </c:valAx>
      <c:valAx>
        <c:axId val="11525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6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'Baranyi-Roberts Model'!$C$5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'Baranyi-Roberts Model'!$A$6:$A$22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'Baranyi-Roberts Model'!$C$6:$C$22</c:f>
              <c:numCache>
                <c:formatCode>General</c:formatCode>
                <c:ptCount val="17"/>
                <c:pt idx="0">
                  <c:v>4.9999999999999991</c:v>
                </c:pt>
                <c:pt idx="1">
                  <c:v>5.0575956830256414</c:v>
                </c:pt>
                <c:pt idx="2">
                  <c:v>5.2141232897122398</c:v>
                </c:pt>
                <c:pt idx="3">
                  <c:v>5.6393606474009443</c:v>
                </c:pt>
                <c:pt idx="4">
                  <c:v>6.7934405045897917</c:v>
                </c:pt>
                <c:pt idx="5">
                  <c:v>9.9170590727329966</c:v>
                </c:pt>
                <c:pt idx="6">
                  <c:v>18.30948455323475</c:v>
                </c:pt>
                <c:pt idx="7">
                  <c:v>40.419637636563358</c:v>
                </c:pt>
                <c:pt idx="8">
                  <c:v>95.778416977226456</c:v>
                </c:pt>
                <c:pt idx="9">
                  <c:v>218.35540967632838</c:v>
                </c:pt>
                <c:pt idx="10">
                  <c:v>428.82797814125684</c:v>
                </c:pt>
                <c:pt idx="11">
                  <c:v>670.21424197028375</c:v>
                </c:pt>
                <c:pt idx="12">
                  <c:v>846.52479938970566</c:v>
                </c:pt>
                <c:pt idx="13">
                  <c:v>937.44009750019472</c:v>
                </c:pt>
                <c:pt idx="14">
                  <c:v>976.03298205530643</c:v>
                </c:pt>
                <c:pt idx="15">
                  <c:v>991.04670701298312</c:v>
                </c:pt>
                <c:pt idx="16">
                  <c:v>996.68742629294024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50-4420-B6F2-F0095DAF7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012288"/>
        <c:axId val="1534011328"/>
      </c:scatterChart>
      <c:valAx>
        <c:axId val="153401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11328"/>
        <c:crosses val="autoZero"/>
        <c:crossBetween val="midCat"/>
      </c:valAx>
      <c:valAx>
        <c:axId val="15340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1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'Baranyi-Roberts Model'!$C$5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'Baranyi-Roberts Model'!$A$6:$A$40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'Baranyi-Roberts Model'!$C$6:$C$40</c:f>
              <c:numCache>
                <c:formatCode>General</c:formatCode>
                <c:ptCount val="35"/>
                <c:pt idx="0">
                  <c:v>4.9999999999999991</c:v>
                </c:pt>
                <c:pt idx="1">
                  <c:v>5.0575956830256414</c:v>
                </c:pt>
                <c:pt idx="2">
                  <c:v>5.2141232897122398</c:v>
                </c:pt>
                <c:pt idx="3">
                  <c:v>5.6393606474009443</c:v>
                </c:pt>
                <c:pt idx="4">
                  <c:v>6.7934405045897917</c:v>
                </c:pt>
                <c:pt idx="5">
                  <c:v>9.9170590727329966</c:v>
                </c:pt>
                <c:pt idx="6">
                  <c:v>18.30948455323475</c:v>
                </c:pt>
                <c:pt idx="7">
                  <c:v>40.419637636563358</c:v>
                </c:pt>
                <c:pt idx="8">
                  <c:v>95.778416977226456</c:v>
                </c:pt>
                <c:pt idx="9">
                  <c:v>218.35540967632838</c:v>
                </c:pt>
                <c:pt idx="10">
                  <c:v>428.82797814125684</c:v>
                </c:pt>
                <c:pt idx="11">
                  <c:v>670.21424197028375</c:v>
                </c:pt>
                <c:pt idx="12">
                  <c:v>846.52479938970566</c:v>
                </c:pt>
                <c:pt idx="13">
                  <c:v>937.44009750019472</c:v>
                </c:pt>
                <c:pt idx="14">
                  <c:v>976.03298205530643</c:v>
                </c:pt>
                <c:pt idx="15">
                  <c:v>991.04670701298312</c:v>
                </c:pt>
                <c:pt idx="16">
                  <c:v>996.68742629294024</c:v>
                </c:pt>
                <c:pt idx="17">
                  <c:v>998.77880235066743</c:v>
                </c:pt>
                <c:pt idx="18">
                  <c:v>999.55039769102746</c:v>
                </c:pt>
                <c:pt idx="19">
                  <c:v>999.8345532987081</c:v>
                </c:pt>
                <c:pt idx="20">
                  <c:v>999.93912916220074</c:v>
                </c:pt>
                <c:pt idx="21">
                  <c:v>999.97760600423635</c:v>
                </c:pt>
                <c:pt idx="22">
                  <c:v>999.9917615921504</c:v>
                </c:pt>
                <c:pt idx="23">
                  <c:v>999.99696924326213</c:v>
                </c:pt>
                <c:pt idx="24">
                  <c:v>999.99888504475825</c:v>
                </c:pt>
                <c:pt idx="25">
                  <c:v>999.99958983059821</c:v>
                </c:pt>
                <c:pt idx="26">
                  <c:v>999.99984910707042</c:v>
                </c:pt>
                <c:pt idx="27">
                  <c:v>999.99994448958819</c:v>
                </c:pt>
                <c:pt idx="28">
                  <c:v>999.99997957885989</c:v>
                </c:pt>
                <c:pt idx="29">
                  <c:v>999.99999248748225</c:v>
                </c:pt>
                <c:pt idx="30">
                  <c:v>999.99999723629924</c:v>
                </c:pt>
                <c:pt idx="31">
                  <c:v>999.99999898329122</c:v>
                </c:pt>
                <c:pt idx="32">
                  <c:v>999.9999996259736</c:v>
                </c:pt>
                <c:pt idx="33">
                  <c:v>999.99999986240346</c:v>
                </c:pt>
                <c:pt idx="34">
                  <c:v>999.99999994938105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0-4DF0-A4F3-FC55F4763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67168"/>
        <c:axId val="1533970048"/>
      </c:scatterChart>
      <c:valAx>
        <c:axId val="153396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0048"/>
        <c:crosses val="autoZero"/>
        <c:crossBetween val="midCat"/>
      </c:valAx>
      <c:valAx>
        <c:axId val="153397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'Baranyi-Roberts Model'!$E$5</c:f>
              <c:strCache>
                <c:ptCount val="1"/>
                <c:pt idx="0">
                  <c:v>dN/dt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'Baranyi-Roberts Model'!$A$6:$A$40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'Baranyi-Roberts Model'!$E$6:$E$40</c:f>
              <c:numCache>
                <c:formatCode>General</c:formatCode>
                <c:ptCount val="35"/>
                <c:pt idx="0">
                  <c:v>-5.5233595475101524E-16</c:v>
                </c:pt>
                <c:pt idx="1">
                  <c:v>5.7924463085213089E-2</c:v>
                </c:pt>
                <c:pt idx="2">
                  <c:v>0.21862039368457814</c:v>
                </c:pt>
                <c:pt idx="3">
                  <c:v>0.67837753600794981</c:v>
                </c:pt>
                <c:pt idx="4">
                  <c:v>2.0803491924594364</c:v>
                </c:pt>
                <c:pt idx="5">
                  <c:v>6.7726770309929405</c:v>
                </c:pt>
                <c:pt idx="6">
                  <c:v>23.572289463441759</c:v>
                </c:pt>
                <c:pt idx="7">
                  <c:v>82.46363231734864</c:v>
                </c:pt>
                <c:pt idx="8">
                  <c:v>263.99495947038957</c:v>
                </c:pt>
                <c:pt idx="9">
                  <c:v>685.78237641762348</c:v>
                </c:pt>
                <c:pt idx="10">
                  <c:v>1226.3064915024559</c:v>
                </c:pt>
                <c:pt idx="11">
                  <c:v>1326.7061820870797</c:v>
                </c:pt>
                <c:pt idx="12">
                  <c:v>909.56156455594794</c:v>
                </c:pt>
                <c:pt idx="13">
                  <c:v>469.18882657300094</c:v>
                </c:pt>
                <c:pt idx="14">
                  <c:v>210.53626720862701</c:v>
                </c:pt>
                <c:pt idx="15">
                  <c:v>88.731715433270367</c:v>
                </c:pt>
                <c:pt idx="16">
                  <c:v>36.317660957789521</c:v>
                </c:pt>
                <c:pt idx="17">
                  <c:v>14.636483351223193</c:v>
                </c:pt>
                <c:pt idx="18">
                  <c:v>5.8422031765184892</c:v>
                </c:pt>
                <c:pt idx="19">
                  <c:v>2.3158707381574755</c:v>
                </c:pt>
                <c:pt idx="20">
                  <c:v>0.91300700659949774</c:v>
                </c:pt>
                <c:pt idx="21">
                  <c:v>0.35829591086469775</c:v>
                </c:pt>
                <c:pt idx="22">
                  <c:v>0.14005177996845802</c:v>
                </c:pt>
                <c:pt idx="23">
                  <c:v>5.4553455989463567E-2</c:v>
                </c:pt>
                <c:pt idx="24">
                  <c:v>2.1184125981003943E-2</c:v>
                </c:pt>
                <c:pt idx="25">
                  <c:v>8.203384671593518E-3</c:v>
                </c:pt>
                <c:pt idx="26">
                  <c:v>3.1687510434809719E-3</c:v>
                </c:pt>
                <c:pt idx="27">
                  <c:v>1.2212289923243676E-3</c:v>
                </c:pt>
                <c:pt idx="28">
                  <c:v>4.6968621299225331E-4</c:v>
                </c:pt>
                <c:pt idx="29">
                  <c:v>1.8030042390229035E-4</c:v>
                </c:pt>
                <c:pt idx="30">
                  <c:v>6.9092517627257133E-5</c:v>
                </c:pt>
                <c:pt idx="31">
                  <c:v>2.6434429507334648E-5</c:v>
                </c:pt>
                <c:pt idx="32">
                  <c:v>1.0098711862969671E-5</c:v>
                </c:pt>
                <c:pt idx="33">
                  <c:v>3.8527017126839222E-6</c:v>
                </c:pt>
                <c:pt idx="34">
                  <c:v>1.4679496506498719E-6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6-4FC5-8D05-8A170E2D1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67951"/>
        <c:axId val="1152564111"/>
      </c:scatterChart>
      <c:valAx>
        <c:axId val="11525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64111"/>
        <c:crosses val="autoZero"/>
        <c:crossBetween val="midCat"/>
      </c:valAx>
      <c:valAx>
        <c:axId val="115256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6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'Richard''s Model'!$B$5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'Richard''s Model'!$A$6:$A$35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'Richard''s Model'!$B$6:$B$35</c:f>
              <c:numCache>
                <c:formatCode>General</c:formatCode>
                <c:ptCount val="30"/>
                <c:pt idx="0">
                  <c:v>5</c:v>
                </c:pt>
                <c:pt idx="1">
                  <c:v>13.475634453255298</c:v>
                </c:pt>
                <c:pt idx="2">
                  <c:v>35.801588701431804</c:v>
                </c:pt>
                <c:pt idx="3">
                  <c:v>91.678972538610537</c:v>
                </c:pt>
                <c:pt idx="4">
                  <c:v>215.29396025171511</c:v>
                </c:pt>
                <c:pt idx="5">
                  <c:v>427.19498445583179</c:v>
                </c:pt>
                <c:pt idx="6">
                  <c:v>669.67050355238416</c:v>
                </c:pt>
                <c:pt idx="7">
                  <c:v>846.40714178589133</c:v>
                </c:pt>
                <c:pt idx="8">
                  <c:v>937.42055687184506</c:v>
                </c:pt>
                <c:pt idx="9">
                  <c:v>976.03011463916641</c:v>
                </c:pt>
                <c:pt idx="10">
                  <c:v>991.0463068879078</c:v>
                </c:pt>
                <c:pt idx="11">
                  <c:v>996.68737152214487</c:v>
                </c:pt>
                <c:pt idx="12">
                  <c:v>998.77879490702787</c:v>
                </c:pt>
                <c:pt idx="13">
                  <c:v>999.55039668207939</c:v>
                </c:pt>
                <c:pt idx="14">
                  <c:v>999.83455316208403</c:v>
                </c:pt>
                <c:pt idx="15">
                  <c:v>999.93912914370685</c:v>
                </c:pt>
                <c:pt idx="16">
                  <c:v>999.97760600173331</c:v>
                </c:pt>
                <c:pt idx="17">
                  <c:v>999.9917615918115</c:v>
                </c:pt>
                <c:pt idx="18">
                  <c:v>999.9969692432162</c:v>
                </c:pt>
                <c:pt idx="19">
                  <c:v>999.998885044752</c:v>
                </c:pt>
                <c:pt idx="20">
                  <c:v>999.99958983059719</c:v>
                </c:pt>
                <c:pt idx="21">
                  <c:v>999.99984910707019</c:v>
                </c:pt>
                <c:pt idx="22">
                  <c:v>999.99994448958796</c:v>
                </c:pt>
                <c:pt idx="23">
                  <c:v>999.99997957885989</c:v>
                </c:pt>
                <c:pt idx="24">
                  <c:v>999.99999248748236</c:v>
                </c:pt>
                <c:pt idx="25">
                  <c:v>999.99999723629912</c:v>
                </c:pt>
                <c:pt idx="26">
                  <c:v>999.99999898329133</c:v>
                </c:pt>
                <c:pt idx="27">
                  <c:v>999.99999962597383</c:v>
                </c:pt>
                <c:pt idx="28">
                  <c:v>999.99999986240346</c:v>
                </c:pt>
                <c:pt idx="29">
                  <c:v>999.99999994938116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70-46F9-88A3-81C4AEF20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71488"/>
        <c:axId val="1533971968"/>
      </c:scatterChart>
      <c:valAx>
        <c:axId val="153397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1968"/>
        <c:crosses val="autoZero"/>
        <c:crossBetween val="midCat"/>
      </c:valAx>
      <c:valAx>
        <c:axId val="15339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'Richard''s Model'!$A$6:$A$17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'Richard''s Model'!$B$6:$B$17</c:f>
              <c:numCache>
                <c:formatCode>General</c:formatCode>
                <c:ptCount val="12"/>
                <c:pt idx="0">
                  <c:v>5</c:v>
                </c:pt>
                <c:pt idx="1">
                  <c:v>13.475634453255298</c:v>
                </c:pt>
                <c:pt idx="2">
                  <c:v>35.801588701431804</c:v>
                </c:pt>
                <c:pt idx="3">
                  <c:v>91.678972538610537</c:v>
                </c:pt>
                <c:pt idx="4">
                  <c:v>215.29396025171511</c:v>
                </c:pt>
                <c:pt idx="5">
                  <c:v>427.19498445583179</c:v>
                </c:pt>
                <c:pt idx="6">
                  <c:v>669.67050355238416</c:v>
                </c:pt>
                <c:pt idx="7">
                  <c:v>846.40714178589133</c:v>
                </c:pt>
                <c:pt idx="8">
                  <c:v>937.42055687184506</c:v>
                </c:pt>
                <c:pt idx="9">
                  <c:v>976.03011463916641</c:v>
                </c:pt>
                <c:pt idx="10">
                  <c:v>991.0463068879078</c:v>
                </c:pt>
                <c:pt idx="11">
                  <c:v>996.68737152214487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9-4356-A5EF-744F089AF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52768"/>
        <c:axId val="1533950848"/>
      </c:scatterChart>
      <c:valAx>
        <c:axId val="15339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0848"/>
        <c:crosses val="autoZero"/>
        <c:crossBetween val="midCat"/>
      </c:valAx>
      <c:valAx>
        <c:axId val="15339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'Richard''s Model'!$D$5</c:f>
              <c:strCache>
                <c:ptCount val="1"/>
                <c:pt idx="0">
                  <c:v>dN/dt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'Richard''s Model'!$A$6:$A$35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'Richard''s Model'!$D$6:$D$35</c:f>
              <c:numCache>
                <c:formatCode>General</c:formatCode>
                <c:ptCount val="30"/>
                <c:pt idx="0">
                  <c:v>4.9749999999999996</c:v>
                </c:pt>
                <c:pt idx="1">
                  <c:v>13.294041729337536</c:v>
                </c:pt>
                <c:pt idx="2">
                  <c:v>34.519834947885315</c:v>
                </c:pt>
                <c:pt idx="3">
                  <c:v>83.273938532875235</c:v>
                </c:pt>
                <c:pt idx="4">
                  <c:v>168.94247093084803</c:v>
                </c:pt>
                <c:pt idx="5">
                  <c:v>244.69942971161342</c:v>
                </c:pt>
                <c:pt idx="6">
                  <c:v>221.21192022428042</c:v>
                </c:pt>
                <c:pt idx="7">
                  <c:v>130.00209211972933</c:v>
                </c:pt>
                <c:pt idx="8">
                  <c:v>58.663256425924914</c:v>
                </c:pt>
                <c:pt idx="9">
                  <c:v>23.395329956622049</c:v>
                </c:pt>
                <c:pt idx="10">
                  <c:v>8.8735244917466272</c:v>
                </c:pt>
                <c:pt idx="11">
                  <c:v>3.3016549704227764</c:v>
                </c:pt>
                <c:pt idx="12">
                  <c:v>1.2197137510929765</c:v>
                </c:pt>
                <c:pt idx="13">
                  <c:v>0.44940117477716968</c:v>
                </c:pt>
                <c:pt idx="14">
                  <c:v>0.16541946525979598</c:v>
                </c:pt>
                <c:pt idx="15">
                  <c:v>6.0867151031992292E-2</c:v>
                </c:pt>
                <c:pt idx="16">
                  <c:v>2.2393496775487087E-2</c:v>
                </c:pt>
                <c:pt idx="17">
                  <c:v>8.2383403171627945E-3</c:v>
                </c:pt>
                <c:pt idx="18">
                  <c:v>3.030747598275063E-3</c:v>
                </c:pt>
                <c:pt idx="19">
                  <c:v>1.1149540048908757E-3</c:v>
                </c:pt>
                <c:pt idx="20">
                  <c:v>4.1016923453688947E-4</c:v>
                </c:pt>
                <c:pt idx="21">
                  <c:v>1.5089290704906012E-4</c:v>
                </c:pt>
                <c:pt idx="22">
                  <c:v>5.5510408963362187E-5</c:v>
                </c:pt>
                <c:pt idx="23">
                  <c:v>2.0421139695224863E-5</c:v>
                </c:pt>
                <c:pt idx="24">
                  <c:v>7.5125175515613926E-6</c:v>
                </c:pt>
                <c:pt idx="25">
                  <c:v>2.763700816111062E-6</c:v>
                </c:pt>
                <c:pt idx="26">
                  <c:v>1.0167087161826781E-6</c:v>
                </c:pt>
                <c:pt idx="27">
                  <c:v>3.7402614325054235E-7</c:v>
                </c:pt>
                <c:pt idx="28">
                  <c:v>1.3759648973870814E-7</c:v>
                </c:pt>
                <c:pt idx="29">
                  <c:v>5.0618842448382344E-8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51-4E8E-995C-96AE1565D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54511"/>
        <c:axId val="1152554991"/>
      </c:scatterChart>
      <c:valAx>
        <c:axId val="115255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54991"/>
        <c:crosses val="autoZero"/>
        <c:crossBetween val="midCat"/>
      </c:valAx>
      <c:valAx>
        <c:axId val="11525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5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'Von Bertalanffy Model'!$B$5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'Von Bertalanffy Model'!$A$6:$A$30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'Von Bertalanffy Model'!$B$6:$B$30</c:f>
              <c:numCache>
                <c:formatCode>General</c:formatCode>
                <c:ptCount val="25"/>
                <c:pt idx="0">
                  <c:v>5</c:v>
                </c:pt>
                <c:pt idx="1">
                  <c:v>633.95995603441486</c:v>
                </c:pt>
                <c:pt idx="2">
                  <c:v>865.34139317957033</c:v>
                </c:pt>
                <c:pt idx="3">
                  <c:v>950.46186697397536</c:v>
                </c:pt>
                <c:pt idx="4">
                  <c:v>981.77593930570947</c:v>
                </c:pt>
                <c:pt idx="5">
                  <c:v>993.29574273590993</c:v>
                </c:pt>
                <c:pt idx="6">
                  <c:v>997.53364158421698</c:v>
                </c:pt>
                <c:pt idx="7">
                  <c:v>999.09267744427325</c:v>
                </c:pt>
                <c:pt idx="8">
                  <c:v>999.66621468523704</c:v>
                </c:pt>
                <c:pt idx="9">
                  <c:v>999.87720724493374</c:v>
                </c:pt>
                <c:pt idx="10">
                  <c:v>999.95482706988628</c:v>
                </c:pt>
                <c:pt idx="11">
                  <c:v>999.98338180771373</c:v>
                </c:pt>
                <c:pt idx="12">
                  <c:v>999.99388650870844</c:v>
                </c:pt>
                <c:pt idx="13">
                  <c:v>999.99775097224006</c:v>
                </c:pt>
                <c:pt idx="14">
                  <c:v>999.9991726289245</c:v>
                </c:pt>
                <c:pt idx="15">
                  <c:v>999.99969562719104</c:v>
                </c:pt>
                <c:pt idx="16">
                  <c:v>999.99988802750113</c:v>
                </c:pt>
                <c:pt idx="17">
                  <c:v>999.99995880761969</c:v>
                </c:pt>
                <c:pt idx="18">
                  <c:v>999.99998484617015</c:v>
                </c:pt>
                <c:pt idx="19">
                  <c:v>999.99999442521755</c:v>
                </c:pt>
                <c:pt idx="20">
                  <c:v>999.99999794915209</c:v>
                </c:pt>
                <c:pt idx="21">
                  <c:v>999.99999924553526</c:v>
                </c:pt>
                <c:pt idx="22">
                  <c:v>999.99999972244791</c:v>
                </c:pt>
                <c:pt idx="23">
                  <c:v>999.99999989789433</c:v>
                </c:pt>
                <c:pt idx="24">
                  <c:v>999.99999996243741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C1-4229-8E66-148DC933A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65728"/>
        <c:axId val="1533963808"/>
      </c:scatterChart>
      <c:valAx>
        <c:axId val="153396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3808"/>
        <c:crosses val="autoZero"/>
        <c:crossBetween val="midCat"/>
      </c:valAx>
      <c:valAx>
        <c:axId val="15339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'Von Bertalanffy Model'!$B$5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'Von Bertalanffy Model'!$A$6:$A$17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'Von Bertalanffy Model'!$B$6:$B$17</c:f>
              <c:numCache>
                <c:formatCode>General</c:formatCode>
                <c:ptCount val="12"/>
                <c:pt idx="0">
                  <c:v>5</c:v>
                </c:pt>
                <c:pt idx="1">
                  <c:v>633.95995603441486</c:v>
                </c:pt>
                <c:pt idx="2">
                  <c:v>865.34139317957033</c:v>
                </c:pt>
                <c:pt idx="3">
                  <c:v>950.46186697397536</c:v>
                </c:pt>
                <c:pt idx="4">
                  <c:v>981.77593930570947</c:v>
                </c:pt>
                <c:pt idx="5">
                  <c:v>993.29574273590993</c:v>
                </c:pt>
                <c:pt idx="6">
                  <c:v>997.53364158421698</c:v>
                </c:pt>
                <c:pt idx="7">
                  <c:v>999.09267744427325</c:v>
                </c:pt>
                <c:pt idx="8">
                  <c:v>999.66621468523704</c:v>
                </c:pt>
                <c:pt idx="9">
                  <c:v>999.87720724493374</c:v>
                </c:pt>
                <c:pt idx="10">
                  <c:v>999.95482706988628</c:v>
                </c:pt>
                <c:pt idx="11">
                  <c:v>999.98338180771373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08-47F8-B211-07E6F2AC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58048"/>
        <c:axId val="1533973408"/>
      </c:scatterChart>
      <c:valAx>
        <c:axId val="15339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3408"/>
        <c:crosses val="autoZero"/>
        <c:crossBetween val="midCat"/>
      </c:valAx>
      <c:valAx>
        <c:axId val="153397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'Von Bertalanffy Model'!$D$5</c:f>
              <c:strCache>
                <c:ptCount val="1"/>
                <c:pt idx="0">
                  <c:v>dN/dt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'Von Bertalanffy Model'!$A$6:$A$30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'Von Bertalanffy Model'!$D$6:$D$30</c:f>
              <c:numCache>
                <c:formatCode>General</c:formatCode>
                <c:ptCount val="25"/>
                <c:pt idx="0">
                  <c:v>995</c:v>
                </c:pt>
                <c:pt idx="1">
                  <c:v>366.04004396558514</c:v>
                </c:pt>
                <c:pt idx="2">
                  <c:v>134.65860682042967</c:v>
                </c:pt>
                <c:pt idx="3">
                  <c:v>49.538133026024639</c:v>
                </c:pt>
                <c:pt idx="4">
                  <c:v>18.224060694290529</c:v>
                </c:pt>
                <c:pt idx="5">
                  <c:v>6.7042572640900744</c:v>
                </c:pt>
                <c:pt idx="6">
                  <c:v>2.4663584157830201</c:v>
                </c:pt>
                <c:pt idx="7">
                  <c:v>0.90732255572675058</c:v>
                </c:pt>
                <c:pt idx="8">
                  <c:v>0.33378531476296303</c:v>
                </c:pt>
                <c:pt idx="9">
                  <c:v>0.12279275506625709</c:v>
                </c:pt>
                <c:pt idx="10">
                  <c:v>4.5172930113722032E-2</c:v>
                </c:pt>
                <c:pt idx="11">
                  <c:v>1.661819228627337E-2</c:v>
                </c:pt>
                <c:pt idx="12">
                  <c:v>6.1134912915576933E-3</c:v>
                </c:pt>
                <c:pt idx="13">
                  <c:v>2.2490277599445108E-3</c:v>
                </c:pt>
                <c:pt idx="14">
                  <c:v>8.2737107550201472E-4</c:v>
                </c:pt>
                <c:pt idx="15">
                  <c:v>3.0437280895512231E-4</c:v>
                </c:pt>
                <c:pt idx="16">
                  <c:v>1.1197249887118232E-4</c:v>
                </c:pt>
                <c:pt idx="17">
                  <c:v>4.1192380308530119E-5</c:v>
                </c:pt>
                <c:pt idx="18">
                  <c:v>1.5153829849623435E-5</c:v>
                </c:pt>
                <c:pt idx="19">
                  <c:v>5.5747824490026687E-6</c:v>
                </c:pt>
                <c:pt idx="20">
                  <c:v>2.0508479110503686E-6</c:v>
                </c:pt>
                <c:pt idx="21">
                  <c:v>7.5446473601914477E-7</c:v>
                </c:pt>
                <c:pt idx="22">
                  <c:v>2.7755208975577261E-7</c:v>
                </c:pt>
                <c:pt idx="23">
                  <c:v>1.0210567324975273E-7</c:v>
                </c:pt>
                <c:pt idx="24">
                  <c:v>3.7562585930572823E-8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28-4848-85C8-9D490FAC9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67951"/>
        <c:axId val="1152560751"/>
      </c:scatterChart>
      <c:valAx>
        <c:axId val="115256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60751"/>
        <c:crosses val="autoZero"/>
        <c:crossBetween val="midCat"/>
      </c:valAx>
      <c:valAx>
        <c:axId val="115256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6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290416</xdr:colOff>
      <xdr:row>1</xdr:row>
      <xdr:rowOff>83476</xdr:rowOff>
    </xdr:from>
    <xdr:to>
      <xdr:col>10</xdr:col>
      <xdr:colOff>342609</xdr:colOff>
      <xdr:row>11</xdr:row>
      <xdr:rowOff>69968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40D53-2785-C511-437C-258B1D675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81341</xdr:colOff>
      <xdr:row>4</xdr:row>
      <xdr:rowOff>10484</xdr:rowOff>
    </xdr:from>
    <xdr:to>
      <xdr:col>13</xdr:col>
      <xdr:colOff>37383</xdr:colOff>
      <xdr:row>18</xdr:row>
      <xdr:rowOff>80133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F84612-6248-0C10-4F8F-476C5CF99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150303</xdr:colOff>
      <xdr:row>12</xdr:row>
      <xdr:rowOff>62917</xdr:rowOff>
    </xdr:from>
    <xdr:to>
      <xdr:col>11</xdr:col>
      <xdr:colOff>13982</xdr:colOff>
      <xdr:row>25</xdr:row>
      <xdr:rowOff>158690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04D74D-60E6-9220-B26C-6FC0262BD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565638</xdr:colOff>
      <xdr:row>1</xdr:row>
      <xdr:rowOff>97755</xdr:rowOff>
    </xdr:from>
    <xdr:to>
      <xdr:col>11</xdr:col>
      <xdr:colOff>34954</xdr:colOff>
      <xdr:row>11</xdr:row>
      <xdr:rowOff>167780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EE330-09C7-ADDE-81A7-3C586869B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535983</xdr:colOff>
      <xdr:row>2</xdr:row>
      <xdr:rowOff>77491</xdr:rowOff>
    </xdr:from>
    <xdr:to>
      <xdr:col>13</xdr:col>
      <xdr:colOff>3648558</xdr:colOff>
      <xdr:row>19</xdr:row>
      <xdr:rowOff>116237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305E2-2DCA-9175-02A3-032812296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325075</xdr:colOff>
      <xdr:row>13</xdr:row>
      <xdr:rowOff>34952</xdr:rowOff>
    </xdr:from>
    <xdr:to>
      <xdr:col>11</xdr:col>
      <xdr:colOff>398478</xdr:colOff>
      <xdr:row>27</xdr:row>
      <xdr:rowOff>116745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859517-811D-304F-8A70-D8B9EC842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145676</xdr:colOff>
      <xdr:row>1</xdr:row>
      <xdr:rowOff>204695</xdr:rowOff>
    </xdr:from>
    <xdr:to>
      <xdr:col>13</xdr:col>
      <xdr:colOff>276412</xdr:colOff>
      <xdr:row>10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F9AE5-0CBB-B1F0-9033-420CA0817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3736</xdr:colOff>
      <xdr:row>3</xdr:row>
      <xdr:rowOff>115047</xdr:rowOff>
    </xdr:from>
    <xdr:to>
      <xdr:col>17</xdr:col>
      <xdr:colOff>78441</xdr:colOff>
      <xdr:row>18</xdr:row>
      <xdr:rowOff>168835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993A2-1901-4D03-83BD-D7A160358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63499</xdr:colOff>
      <xdr:row>12</xdr:row>
      <xdr:rowOff>156881</xdr:rowOff>
    </xdr:from>
    <xdr:to>
      <xdr:col>13</xdr:col>
      <xdr:colOff>328706</xdr:colOff>
      <xdr:row>26</xdr:row>
      <xdr:rowOff>41834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0959A5-9B6F-1AD4-024D-35D534163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56029</xdr:colOff>
      <xdr:row>3</xdr:row>
      <xdr:rowOff>55282</xdr:rowOff>
    </xdr:from>
    <xdr:to>
      <xdr:col>13</xdr:col>
      <xdr:colOff>4015441</xdr:colOff>
      <xdr:row>18</xdr:row>
      <xdr:rowOff>109071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DFB102-CF3E-B22A-C040-15EA35A09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175558</xdr:colOff>
      <xdr:row>1</xdr:row>
      <xdr:rowOff>129989</xdr:rowOff>
    </xdr:from>
    <xdr:to>
      <xdr:col>11</xdr:col>
      <xdr:colOff>459441</xdr:colOff>
      <xdr:row>13</xdr:row>
      <xdr:rowOff>56777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9CCE3E-BBAC-8AC5-3F71-4B1C4B79D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175559</xdr:colOff>
      <xdr:row>13</xdr:row>
      <xdr:rowOff>122518</xdr:rowOff>
    </xdr:from>
    <xdr:to>
      <xdr:col>11</xdr:col>
      <xdr:colOff>459442</xdr:colOff>
      <xdr:row>28</xdr:row>
      <xdr:rowOff>176306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1A747-A2CD-9582-C069-B34741D56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159657</xdr:colOff>
      <xdr:row>3</xdr:row>
      <xdr:rowOff>65314</xdr:rowOff>
    </xdr:from>
    <xdr:to>
      <xdr:col>14</xdr:col>
      <xdr:colOff>76200</xdr:colOff>
      <xdr:row>18</xdr:row>
      <xdr:rowOff>7258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73FC7-8A3F-FC43-755A-BF1C7F03B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</xdr:row>
      <xdr:rowOff>87085</xdr:rowOff>
    </xdr:from>
    <xdr:to>
      <xdr:col>11</xdr:col>
      <xdr:colOff>533400</xdr:colOff>
      <xdr:row>12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91817-64B4-5AF6-DCB8-95CC3FAAB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250372</xdr:colOff>
      <xdr:row>13</xdr:row>
      <xdr:rowOff>145142</xdr:rowOff>
    </xdr:from>
    <xdr:to>
      <xdr:col>11</xdr:col>
      <xdr:colOff>555172</xdr:colOff>
      <xdr:row>28</xdr:row>
      <xdr:rowOff>166914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93B0BB-CC54-293B-8562-B4A781EBE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mc.ncbi.nlm.nih.gov/articles/PMC7053935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mc.ncbi.nlm.nih.gov/articles/PMC5459448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pmc.ncbi.nlm.nih.gov/articles/PMC5459448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pmc.ncbi.nlm.nih.gov/articles/PMC5459448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pmc.ncbi.nlm.nih.gov/articles/PMC5459448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pnas.org/doi/pdf/10.1073/pnas.18.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BCE0-84F5-437B-BE7C-30D93AA5E64B}">
  <dimension ref="A1:M38"/>
  <sheetViews>
    <sheetView zoomScale="109" workbookViewId="0">
      <selection activeCell="C2" sqref="C2"/>
    </sheetView>
  </sheetViews>
  <sheetFormatPr defaultRowHeight="14.4" x14ac:dyDescent="0.3"/>
  <cols>
    <col min="1" max="1" width="6.6640625" customWidth="1"/>
    <col min="2" max="2" width="15.88671875" customWidth="1"/>
    <col min="3" max="4" width="14.6640625" customWidth="1"/>
    <col min="7" max="7" width="9.33203125" customWidth="1"/>
    <col min="13" max="13" width="56.6640625" customWidth="1"/>
  </cols>
  <sheetData>
    <row r="1" spans="1:13" x14ac:dyDescent="0.3">
      <c r="A1" s="1" t="s">
        <v>3</v>
      </c>
      <c r="B1" s="1">
        <v>1000</v>
      </c>
      <c r="C1" s="1"/>
      <c r="D1" s="1" t="s">
        <v>4</v>
      </c>
      <c r="E1" s="1">
        <v>1</v>
      </c>
      <c r="F1" s="1"/>
      <c r="G1" s="1" t="s">
        <v>5</v>
      </c>
      <c r="H1" s="1">
        <v>5</v>
      </c>
      <c r="L1" t="s">
        <v>8</v>
      </c>
      <c r="M1" s="2" t="s">
        <v>7</v>
      </c>
    </row>
    <row r="2" spans="1:13" ht="66.599999999999994" x14ac:dyDescent="0.3">
      <c r="L2" t="s">
        <v>9</v>
      </c>
      <c r="M2" s="6" t="s">
        <v>10</v>
      </c>
    </row>
    <row r="3" spans="1:13" x14ac:dyDescent="0.3">
      <c r="M3" s="6"/>
    </row>
    <row r="5" spans="1:13" x14ac:dyDescent="0.3">
      <c r="A5" s="1" t="s">
        <v>0</v>
      </c>
      <c r="B5" s="1" t="s">
        <v>1</v>
      </c>
      <c r="C5" s="1" t="s">
        <v>2</v>
      </c>
      <c r="D5" s="1" t="s">
        <v>6</v>
      </c>
      <c r="E5" s="1"/>
    </row>
    <row r="6" spans="1:13" x14ac:dyDescent="0.3">
      <c r="A6" s="1">
        <v>0</v>
      </c>
      <c r="B6" s="1">
        <f>$B$1/(1+($B$1-$H$1)/($H$1*EXP($E$1*A6)))</f>
        <v>5</v>
      </c>
      <c r="C6" s="1">
        <f>$B$1/(1+($B$1-B6)/(B6*EXP($E$1*A6)))</f>
        <v>5</v>
      </c>
      <c r="D6" s="1">
        <f>$E$1*B6*(($B$1-B6)/$B$1)</f>
        <v>4.9749999999999996</v>
      </c>
      <c r="E6" s="1"/>
    </row>
    <row r="7" spans="1:13" x14ac:dyDescent="0.3">
      <c r="A7">
        <v>1</v>
      </c>
      <c r="B7">
        <f>$B$1/(1+($B$1-$H$1)/($H$1*EXP($E$1*A7)))</f>
        <v>13.475634453255298</v>
      </c>
      <c r="C7">
        <f>$B$1/(1+($B$1-B7)/(B7*EXP($E$1*A7)))</f>
        <v>35.801588701431797</v>
      </c>
      <c r="D7">
        <f>$E$1*B7*(($B$1-B7)/$B$1)</f>
        <v>13.294041729337534</v>
      </c>
    </row>
    <row r="8" spans="1:13" x14ac:dyDescent="0.3">
      <c r="A8">
        <v>2</v>
      </c>
      <c r="B8">
        <f t="shared" ref="B8:B23" si="0">$B$1/(1+($B$1-$H$1)/($H$1*EXP($E$1*A8)))</f>
        <v>35.801588701431804</v>
      </c>
      <c r="C8">
        <f t="shared" ref="C8:C16" si="1">$B$1/(1+($B$1-B8)/(B8*EXP($E$1*A8)))</f>
        <v>215.29396025171511</v>
      </c>
      <c r="D8">
        <f t="shared" ref="D8:D16" si="2">$E$1*B8*(($B$1-B8)/$B$1)</f>
        <v>34.519834947885315</v>
      </c>
    </row>
    <row r="9" spans="1:13" ht="14.4" customHeight="1" x14ac:dyDescent="0.3">
      <c r="A9" s="1">
        <v>3</v>
      </c>
      <c r="B9">
        <f t="shared" si="0"/>
        <v>91.678972538610552</v>
      </c>
      <c r="C9">
        <f>$B$1/(1+($B$1-B9)/(B9*EXP($E$1*A9)))</f>
        <v>669.67050355238405</v>
      </c>
      <c r="D9">
        <f t="shared" si="2"/>
        <v>83.273938532875249</v>
      </c>
      <c r="E9" s="1"/>
      <c r="F9" s="1"/>
    </row>
    <row r="10" spans="1:13" x14ac:dyDescent="0.3">
      <c r="A10">
        <v>4</v>
      </c>
      <c r="B10">
        <f t="shared" si="0"/>
        <v>215.29396025171511</v>
      </c>
      <c r="C10">
        <f t="shared" si="1"/>
        <v>937.42055687184506</v>
      </c>
      <c r="D10">
        <f t="shared" si="2"/>
        <v>168.94247093084803</v>
      </c>
      <c r="M10" s="5"/>
    </row>
    <row r="11" spans="1:13" x14ac:dyDescent="0.3">
      <c r="A11" s="1">
        <v>5</v>
      </c>
      <c r="B11">
        <f t="shared" si="0"/>
        <v>427.19498445583173</v>
      </c>
      <c r="C11">
        <f t="shared" si="1"/>
        <v>991.0463068879078</v>
      </c>
      <c r="D11">
        <f t="shared" si="2"/>
        <v>244.69942971161342</v>
      </c>
      <c r="M11" s="5"/>
    </row>
    <row r="12" spans="1:13" x14ac:dyDescent="0.3">
      <c r="A12">
        <v>6</v>
      </c>
      <c r="B12">
        <f t="shared" si="0"/>
        <v>669.67050355238405</v>
      </c>
      <c r="C12">
        <f t="shared" si="1"/>
        <v>998.77879490702787</v>
      </c>
      <c r="D12">
        <f t="shared" si="2"/>
        <v>221.21192022428042</v>
      </c>
      <c r="M12" s="5"/>
    </row>
    <row r="13" spans="1:13" x14ac:dyDescent="0.3">
      <c r="A13" s="1">
        <v>7</v>
      </c>
      <c r="B13">
        <f t="shared" si="0"/>
        <v>846.40714178589133</v>
      </c>
      <c r="C13">
        <f t="shared" si="1"/>
        <v>999.83455316208403</v>
      </c>
      <c r="D13">
        <f t="shared" si="2"/>
        <v>130.00209211972938</v>
      </c>
      <c r="M13" s="5"/>
    </row>
    <row r="14" spans="1:13" x14ac:dyDescent="0.3">
      <c r="A14">
        <v>8</v>
      </c>
      <c r="B14">
        <f t="shared" si="0"/>
        <v>937.42055687184506</v>
      </c>
      <c r="C14">
        <f t="shared" si="1"/>
        <v>999.97760600173331</v>
      </c>
      <c r="D14">
        <f t="shared" si="2"/>
        <v>58.663256425924949</v>
      </c>
      <c r="M14" s="5"/>
    </row>
    <row r="15" spans="1:13" x14ac:dyDescent="0.3">
      <c r="A15" s="1">
        <v>9</v>
      </c>
      <c r="B15">
        <f t="shared" si="0"/>
        <v>976.03011463916641</v>
      </c>
      <c r="C15">
        <f t="shared" si="1"/>
        <v>999.9969692432162</v>
      </c>
      <c r="D15">
        <f t="shared" si="2"/>
        <v>23.395329956622081</v>
      </c>
    </row>
    <row r="16" spans="1:13" x14ac:dyDescent="0.3">
      <c r="A16">
        <v>10</v>
      </c>
      <c r="B16">
        <f t="shared" si="0"/>
        <v>991.0463068879078</v>
      </c>
      <c r="C16">
        <f t="shared" si="1"/>
        <v>999.9995898305973</v>
      </c>
      <c r="D16">
        <f t="shared" si="2"/>
        <v>8.8735244917466698</v>
      </c>
    </row>
    <row r="17" spans="1:4" x14ac:dyDescent="0.3">
      <c r="A17" s="1">
        <v>11</v>
      </c>
      <c r="B17">
        <f t="shared" si="0"/>
        <v>996.68737152214476</v>
      </c>
      <c r="C17">
        <f>$B$1/(1+($B$1-B17)/(B17*EXP($E$1*A17)))</f>
        <v>999.99994448958796</v>
      </c>
      <c r="D17">
        <f t="shared" ref="D17:D20" si="3">$E$1*B17*(($B$1-B17)/$B$1)</f>
        <v>3.3016549704229443</v>
      </c>
    </row>
    <row r="18" spans="1:4" x14ac:dyDescent="0.3">
      <c r="A18">
        <v>12</v>
      </c>
      <c r="B18">
        <f t="shared" si="0"/>
        <v>998.77879490702787</v>
      </c>
      <c r="C18">
        <f t="shared" ref="C18:C20" si="4">$B$1/(1+($B$1-B18)/(B18*EXP($E$1*A18)))</f>
        <v>999.99999248748236</v>
      </c>
      <c r="D18">
        <f t="shared" si="3"/>
        <v>1.219713751093026</v>
      </c>
    </row>
    <row r="19" spans="1:4" x14ac:dyDescent="0.3">
      <c r="A19" s="1">
        <v>13</v>
      </c>
      <c r="B19">
        <f t="shared" si="0"/>
        <v>999.55039668207928</v>
      </c>
      <c r="C19">
        <f t="shared" si="4"/>
        <v>999.99999898329133</v>
      </c>
      <c r="D19">
        <f t="shared" si="3"/>
        <v>0.44940117477723351</v>
      </c>
    </row>
    <row r="20" spans="1:4" x14ac:dyDescent="0.3">
      <c r="A20">
        <v>14</v>
      </c>
      <c r="B20">
        <f t="shared" si="0"/>
        <v>999.83455316208403</v>
      </c>
      <c r="C20">
        <f t="shared" si="4"/>
        <v>999.99999986240346</v>
      </c>
      <c r="D20">
        <f t="shared" si="3"/>
        <v>0.16541946525978887</v>
      </c>
    </row>
    <row r="21" spans="1:4" x14ac:dyDescent="0.3">
      <c r="A21" s="1">
        <v>15</v>
      </c>
      <c r="B21">
        <f t="shared" si="0"/>
        <v>999.93912914370685</v>
      </c>
      <c r="C21">
        <f>$B$1/(1+($B$1-B21)/(B21*EXP($E$1*A21)))</f>
        <v>999.99999998137821</v>
      </c>
      <c r="D21">
        <f>$E$1*B21*(($B$1-B21)/$B$1)</f>
        <v>6.0867151032003838E-2</v>
      </c>
    </row>
    <row r="22" spans="1:4" x14ac:dyDescent="0.3">
      <c r="A22">
        <v>16</v>
      </c>
      <c r="B22">
        <f t="shared" si="0"/>
        <v>999.97760600173331</v>
      </c>
      <c r="C22">
        <f>$B$1/(1+($B$1-B22)/(B22*EXP($E$1*A22)))</f>
        <v>999.99999999747979</v>
      </c>
      <c r="D22">
        <f>$E$1*B22*(($B$1-B22)/$B$1)</f>
        <v>2.2393496775535048E-2</v>
      </c>
    </row>
    <row r="23" spans="1:4" x14ac:dyDescent="0.3">
      <c r="A23" s="1">
        <v>17</v>
      </c>
      <c r="B23">
        <f t="shared" si="0"/>
        <v>999.9917615918115</v>
      </c>
      <c r="C23">
        <f>$B$1/(1+($B$1-B23)/(B23*EXP($E$1*A23)))</f>
        <v>999.99999999965894</v>
      </c>
      <c r="D23">
        <f>$E$1*B23*(($B$1-B23)/$B$1)</f>
        <v>8.2383403171343746E-3</v>
      </c>
    </row>
    <row r="24" spans="1:4" x14ac:dyDescent="0.3">
      <c r="A24" s="1">
        <v>18</v>
      </c>
      <c r="B24">
        <f t="shared" ref="B24:B27" si="5">$B$1/(1+($B$1-$H$1)/($H$1*EXP($E$1*A24)))</f>
        <v>999.9969692432162</v>
      </c>
      <c r="C24">
        <f t="shared" ref="C24:C29" si="6">$B$1/(1+($B$1-B24)/(B24*EXP($E$1*A24)))</f>
        <v>999.99999999995384</v>
      </c>
      <c r="D24">
        <f t="shared" ref="D24:D29" si="7">$E$1*B24*(($B$1-B24)/$B$1)</f>
        <v>3.0307475983141429E-3</v>
      </c>
    </row>
    <row r="25" spans="1:4" x14ac:dyDescent="0.3">
      <c r="A25">
        <v>19</v>
      </c>
      <c r="B25">
        <f t="shared" si="5"/>
        <v>999.998885044752</v>
      </c>
      <c r="C25">
        <f t="shared" si="6"/>
        <v>999.99999999999375</v>
      </c>
      <c r="D25">
        <f t="shared" si="7"/>
        <v>1.1149540048740003E-3</v>
      </c>
    </row>
    <row r="26" spans="1:4" x14ac:dyDescent="0.3">
      <c r="A26" s="1">
        <v>20</v>
      </c>
      <c r="B26">
        <f t="shared" si="5"/>
        <v>999.9995898305973</v>
      </c>
      <c r="C26">
        <f t="shared" si="6"/>
        <v>999.99999999999909</v>
      </c>
      <c r="D26">
        <f t="shared" si="7"/>
        <v>4.10169234459618E-4</v>
      </c>
    </row>
    <row r="27" spans="1:4" x14ac:dyDescent="0.3">
      <c r="A27" s="1">
        <v>21</v>
      </c>
      <c r="B27">
        <f t="shared" si="5"/>
        <v>999.99984910707019</v>
      </c>
      <c r="C27">
        <f t="shared" si="6"/>
        <v>999.99999999999977</v>
      </c>
      <c r="D27">
        <f t="shared" si="7"/>
        <v>1.5089290704106651E-4</v>
      </c>
    </row>
    <row r="28" spans="1:4" x14ac:dyDescent="0.3">
      <c r="A28" s="1">
        <v>22</v>
      </c>
      <c r="B28">
        <f t="shared" ref="B28:B35" si="8">$B$1/(1+($B$1-$H$1)/($H$1*EXP($E$1*A28)))</f>
        <v>999.99994448958796</v>
      </c>
      <c r="C28">
        <f t="shared" si="6"/>
        <v>1000</v>
      </c>
      <c r="D28">
        <f t="shared" si="7"/>
        <v>5.5510408958033117E-5</v>
      </c>
    </row>
    <row r="29" spans="1:4" x14ac:dyDescent="0.3">
      <c r="A29">
        <v>23</v>
      </c>
      <c r="B29">
        <f t="shared" si="8"/>
        <v>999.99997957885989</v>
      </c>
      <c r="C29">
        <f t="shared" si="6"/>
        <v>1000</v>
      </c>
      <c r="D29">
        <f t="shared" si="7"/>
        <v>2.0421139689895793E-5</v>
      </c>
    </row>
    <row r="30" spans="1:4" x14ac:dyDescent="0.3">
      <c r="A30" s="1">
        <v>24</v>
      </c>
      <c r="B30">
        <f t="shared" si="8"/>
        <v>999.99999248748236</v>
      </c>
      <c r="C30">
        <f t="shared" ref="C30:C35" si="9">$B$1/(1+($B$1-B30)/(B30*EXP($E$1*A30)))</f>
        <v>1000</v>
      </c>
      <c r="D30">
        <f t="shared" ref="D30:D35" si="10">$E$1*B30*(($B$1-B30)/$B$1)</f>
        <v>7.512517584423995E-6</v>
      </c>
    </row>
    <row r="31" spans="1:4" x14ac:dyDescent="0.3">
      <c r="A31">
        <v>25</v>
      </c>
      <c r="B31">
        <f t="shared" si="8"/>
        <v>999.99999723629924</v>
      </c>
      <c r="C31">
        <f t="shared" si="9"/>
        <v>1000</v>
      </c>
      <c r="D31">
        <f t="shared" si="10"/>
        <v>2.7637007557149303E-6</v>
      </c>
    </row>
    <row r="32" spans="1:4" x14ac:dyDescent="0.3">
      <c r="A32" s="1">
        <v>26</v>
      </c>
      <c r="B32">
        <f t="shared" si="8"/>
        <v>999.99999898329133</v>
      </c>
      <c r="C32">
        <f t="shared" si="9"/>
        <v>1000</v>
      </c>
      <c r="D32">
        <f t="shared" si="10"/>
        <v>1.0167086646683298E-6</v>
      </c>
    </row>
    <row r="33" spans="1:4" x14ac:dyDescent="0.3">
      <c r="A33" s="1">
        <v>27</v>
      </c>
      <c r="B33">
        <f t="shared" si="8"/>
        <v>999.99999962597383</v>
      </c>
      <c r="C33">
        <f t="shared" si="9"/>
        <v>1000</v>
      </c>
      <c r="D33">
        <f t="shared" si="10"/>
        <v>3.7402617167225178E-7</v>
      </c>
    </row>
    <row r="34" spans="1:4" x14ac:dyDescent="0.3">
      <c r="A34">
        <v>28</v>
      </c>
      <c r="B34">
        <f t="shared" si="8"/>
        <v>999.99999986240346</v>
      </c>
      <c r="C34">
        <f t="shared" si="9"/>
        <v>1000</v>
      </c>
      <c r="D34">
        <f t="shared" si="10"/>
        <v>1.3759654391759171E-7</v>
      </c>
    </row>
    <row r="35" spans="1:4" x14ac:dyDescent="0.3">
      <c r="A35" s="1">
        <v>29</v>
      </c>
      <c r="B35">
        <f t="shared" si="8"/>
        <v>999.99999994938116</v>
      </c>
      <c r="C35">
        <f t="shared" si="9"/>
        <v>1000</v>
      </c>
      <c r="D35">
        <f t="shared" si="10"/>
        <v>5.0618837119311826E-8</v>
      </c>
    </row>
    <row r="36" spans="1:4" x14ac:dyDescent="0.3">
      <c r="A36" s="1">
        <v>30</v>
      </c>
      <c r="B36">
        <f t="shared" ref="B36" si="11">$B$1/(1+($B$1-$H$1)/($H$1*EXP($E$1*A36)))</f>
        <v>999.99999998137821</v>
      </c>
      <c r="C36">
        <f t="shared" ref="C36" si="12">$B$1/(1+($B$1-B36)/(B36*EXP($E$1*A36)))</f>
        <v>1000</v>
      </c>
      <c r="D36">
        <f t="shared" ref="D36" si="13">$E$1*B36*(($B$1-B36)/$B$1)</f>
        <v>1.8621790331616213E-8</v>
      </c>
    </row>
    <row r="38" spans="1:4" x14ac:dyDescent="0.3">
      <c r="A38" s="1"/>
    </row>
  </sheetData>
  <hyperlinks>
    <hyperlink ref="M1" r:id="rId1" xr:uid="{FCA1E8FD-4A86-45F8-ACEC-7D0061D5C1A2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1742-0E41-4556-B4F1-46B8F261C4FA}">
  <dimension ref="A1:N32"/>
  <sheetViews>
    <sheetView zoomScale="109" workbookViewId="0">
      <selection activeCell="C2" sqref="C2"/>
    </sheetView>
  </sheetViews>
  <sheetFormatPr defaultRowHeight="14.4" x14ac:dyDescent="0.3"/>
  <cols>
    <col min="1" max="1" width="7.88671875" customWidth="1"/>
    <col min="2" max="3" width="15.5546875" customWidth="1"/>
    <col min="4" max="4" width="15.6640625" customWidth="1"/>
    <col min="6" max="6" width="8.21875" customWidth="1"/>
    <col min="9" max="9" width="7.33203125" customWidth="1"/>
    <col min="11" max="11" width="7" customWidth="1"/>
    <col min="12" max="12" width="8.44140625" customWidth="1"/>
    <col min="13" max="13" width="8.77734375" customWidth="1"/>
    <col min="14" max="14" width="54.5546875" customWidth="1"/>
  </cols>
  <sheetData>
    <row r="1" spans="1:14" x14ac:dyDescent="0.3">
      <c r="A1" s="1" t="s">
        <v>19</v>
      </c>
      <c r="B1" s="1">
        <v>1000</v>
      </c>
      <c r="C1" s="1"/>
      <c r="D1" s="1" t="s">
        <v>4</v>
      </c>
      <c r="E1" s="1">
        <v>1</v>
      </c>
      <c r="F1" s="1"/>
      <c r="G1" s="1" t="s">
        <v>5</v>
      </c>
      <c r="H1" s="1">
        <v>5</v>
      </c>
      <c r="I1" s="1"/>
      <c r="J1" s="1"/>
      <c r="M1" t="s">
        <v>8</v>
      </c>
      <c r="N1" s="2" t="s">
        <v>18</v>
      </c>
    </row>
    <row r="2" spans="1:14" ht="66.599999999999994" x14ac:dyDescent="0.3">
      <c r="M2" t="s">
        <v>9</v>
      </c>
      <c r="N2" s="3" t="s">
        <v>11</v>
      </c>
    </row>
    <row r="5" spans="1:14" x14ac:dyDescent="0.3">
      <c r="A5" s="1" t="s">
        <v>0</v>
      </c>
      <c r="B5" s="1" t="s">
        <v>1</v>
      </c>
      <c r="C5" s="1" t="s">
        <v>2</v>
      </c>
      <c r="D5" s="1" t="s">
        <v>6</v>
      </c>
    </row>
    <row r="6" spans="1:14" x14ac:dyDescent="0.3">
      <c r="A6" s="1">
        <v>0</v>
      </c>
      <c r="B6" s="1">
        <f>$B$1*EXP(LN($H$1/$B$1)*EXP(-$E$1*A6))</f>
        <v>5.0000000000000018</v>
      </c>
      <c r="C6" s="1">
        <f>$B$1*EXP(LN(B6/$B$1)*EXP(-$E$1*A6))</f>
        <v>5.0000000000000018</v>
      </c>
      <c r="D6" s="1">
        <f>$E$1*B6*LN($B$1/B6)</f>
        <v>26.49158683274019</v>
      </c>
    </row>
    <row r="7" spans="1:14" x14ac:dyDescent="0.3">
      <c r="A7">
        <v>1</v>
      </c>
      <c r="B7">
        <f>$B$1*EXP(LN($H$1/$B$1)*EXP(-$E$1*A7))</f>
        <v>142.39619057322122</v>
      </c>
      <c r="C7">
        <f>$B$1*EXP(LN(B7/$B$1)*EXP(-$E$1*A7))</f>
        <v>488.19064595501203</v>
      </c>
      <c r="D7" s="1">
        <f t="shared" ref="D7:D32" si="0">$E$1*B7*LN($B$1/B7)</f>
        <v>277.55040023648849</v>
      </c>
    </row>
    <row r="8" spans="1:14" x14ac:dyDescent="0.3">
      <c r="A8">
        <v>2</v>
      </c>
      <c r="B8">
        <f t="shared" ref="B8:B31" si="1">$B$1*EXP(LN($H$1/$B$1)*EXP(-$E$1*A8))</f>
        <v>488.19064595501203</v>
      </c>
      <c r="C8">
        <f t="shared" ref="C8:C31" si="2">$B$1*EXP(LN(B8/$B$1)*EXP(-$E$1*A8))</f>
        <v>907.51782822999132</v>
      </c>
      <c r="D8" s="1">
        <f t="shared" si="0"/>
        <v>350.05675190692864</v>
      </c>
    </row>
    <row r="9" spans="1:14" x14ac:dyDescent="0.3">
      <c r="A9">
        <v>3</v>
      </c>
      <c r="B9">
        <f t="shared" si="1"/>
        <v>768.13660622512748</v>
      </c>
      <c r="C9">
        <f t="shared" si="2"/>
        <v>986.95264866956438</v>
      </c>
      <c r="D9" s="1">
        <f t="shared" si="0"/>
        <v>202.62498016398371</v>
      </c>
    </row>
    <row r="10" spans="1:14" x14ac:dyDescent="0.3">
      <c r="A10">
        <v>4</v>
      </c>
      <c r="B10">
        <f t="shared" si="1"/>
        <v>907.51782822999132</v>
      </c>
      <c r="C10">
        <f t="shared" si="2"/>
        <v>998.22419115045034</v>
      </c>
      <c r="D10" s="1">
        <f t="shared" si="0"/>
        <v>88.06740643856962</v>
      </c>
    </row>
    <row r="11" spans="1:14" x14ac:dyDescent="0.3">
      <c r="A11">
        <v>5</v>
      </c>
      <c r="B11">
        <f t="shared" si="1"/>
        <v>964.92993972486818</v>
      </c>
      <c r="C11">
        <f t="shared" si="2"/>
        <v>999.75948569190405</v>
      </c>
      <c r="D11" s="1">
        <f t="shared" si="0"/>
        <v>34.44778810760905</v>
      </c>
    </row>
    <row r="12" spans="1:14" x14ac:dyDescent="0.3">
      <c r="A12">
        <v>6</v>
      </c>
      <c r="B12">
        <f t="shared" si="1"/>
        <v>986.95264866956438</v>
      </c>
      <c r="C12">
        <f t="shared" si="2"/>
        <v>999.96744654285988</v>
      </c>
      <c r="D12" s="1">
        <f t="shared" si="0"/>
        <v>12.961862025598448</v>
      </c>
    </row>
    <row r="13" spans="1:14" x14ac:dyDescent="0.3">
      <c r="A13">
        <v>7</v>
      </c>
      <c r="B13">
        <f t="shared" si="1"/>
        <v>995.18021257827456</v>
      </c>
      <c r="C13">
        <f t="shared" si="2"/>
        <v>999.99559430665181</v>
      </c>
      <c r="D13" s="1">
        <f t="shared" si="0"/>
        <v>4.8081535403369084</v>
      </c>
    </row>
    <row r="14" spans="1:14" x14ac:dyDescent="0.3">
      <c r="A14">
        <v>8</v>
      </c>
      <c r="B14">
        <f t="shared" si="1"/>
        <v>998.22419115045034</v>
      </c>
      <c r="C14">
        <f t="shared" si="2"/>
        <v>999.99940375310712</v>
      </c>
      <c r="D14" s="1">
        <f t="shared" si="0"/>
        <v>1.7742311668503388</v>
      </c>
    </row>
    <row r="15" spans="1:14" x14ac:dyDescent="0.3">
      <c r="A15">
        <v>9</v>
      </c>
      <c r="B15">
        <f t="shared" si="1"/>
        <v>999.34634941448758</v>
      </c>
      <c r="C15">
        <f t="shared" si="2"/>
        <v>999.99991930673707</v>
      </c>
      <c r="D15" s="1">
        <f t="shared" si="0"/>
        <v>0.65343690940684152</v>
      </c>
    </row>
    <row r="16" spans="1:14" x14ac:dyDescent="0.3">
      <c r="A16">
        <v>10</v>
      </c>
      <c r="B16">
        <f t="shared" si="1"/>
        <v>999.75948569190405</v>
      </c>
      <c r="C16">
        <f t="shared" si="2"/>
        <v>999.99998907935401</v>
      </c>
      <c r="D16" s="1">
        <f t="shared" si="0"/>
        <v>0.24048538221061708</v>
      </c>
    </row>
    <row r="17" spans="1:4" x14ac:dyDescent="0.3">
      <c r="A17">
        <v>11</v>
      </c>
      <c r="B17">
        <f t="shared" si="1"/>
        <v>999.91151300385741</v>
      </c>
      <c r="C17">
        <f t="shared" si="2"/>
        <v>999.99999852205121</v>
      </c>
      <c r="D17" s="1">
        <f t="shared" si="0"/>
        <v>8.8483081052960821E-2</v>
      </c>
    </row>
    <row r="18" spans="1:4" x14ac:dyDescent="0.3">
      <c r="A18">
        <v>12</v>
      </c>
      <c r="B18">
        <f t="shared" si="1"/>
        <v>999.96744654285988</v>
      </c>
      <c r="C18">
        <f t="shared" si="2"/>
        <v>999.99999979998142</v>
      </c>
      <c r="D18" s="1">
        <f t="shared" si="0"/>
        <v>3.2552927270599372E-2</v>
      </c>
    </row>
    <row r="19" spans="1:4" x14ac:dyDescent="0.3">
      <c r="A19">
        <v>13</v>
      </c>
      <c r="B19">
        <f t="shared" si="1"/>
        <v>999.98802412916018</v>
      </c>
      <c r="C19">
        <f t="shared" si="2"/>
        <v>999.99999997293048</v>
      </c>
      <c r="D19" s="1">
        <f t="shared" si="0"/>
        <v>1.1975799128721367E-2</v>
      </c>
    </row>
    <row r="20" spans="1:4" x14ac:dyDescent="0.3">
      <c r="A20">
        <v>14</v>
      </c>
      <c r="B20">
        <f t="shared" si="1"/>
        <v>999.99559430665181</v>
      </c>
      <c r="C20">
        <f t="shared" si="2"/>
        <v>999.99999999633644</v>
      </c>
      <c r="D20" s="1">
        <f t="shared" si="0"/>
        <v>4.4056836430923802E-3</v>
      </c>
    </row>
    <row r="21" spans="1:4" x14ac:dyDescent="0.3">
      <c r="A21">
        <v>15</v>
      </c>
      <c r="B21">
        <f t="shared" si="1"/>
        <v>999.99837923373627</v>
      </c>
      <c r="C21">
        <f t="shared" si="2"/>
        <v>999.99999999950421</v>
      </c>
      <c r="D21" s="1">
        <f t="shared" si="0"/>
        <v>1.6207649503234337E-3</v>
      </c>
    </row>
    <row r="22" spans="1:4" x14ac:dyDescent="0.3">
      <c r="A22">
        <v>16</v>
      </c>
      <c r="B22">
        <f t="shared" si="1"/>
        <v>999.99940375310712</v>
      </c>
      <c r="C22">
        <f t="shared" si="2"/>
        <v>999.99999999993292</v>
      </c>
      <c r="D22" s="1">
        <f t="shared" si="0"/>
        <v>5.9624671519751637E-4</v>
      </c>
    </row>
    <row r="23" spans="1:4" x14ac:dyDescent="0.3">
      <c r="A23">
        <v>17</v>
      </c>
      <c r="B23">
        <f t="shared" si="1"/>
        <v>999.9997806529849</v>
      </c>
      <c r="C23">
        <f t="shared" si="2"/>
        <v>999.99999999999091</v>
      </c>
      <c r="D23" s="1">
        <f t="shared" si="0"/>
        <v>2.1934699100981618E-4</v>
      </c>
    </row>
    <row r="24" spans="1:4" x14ac:dyDescent="0.3">
      <c r="A24">
        <v>18</v>
      </c>
      <c r="B24">
        <f t="shared" si="1"/>
        <v>999.99991930673707</v>
      </c>
      <c r="C24">
        <f t="shared" si="2"/>
        <v>999.99999999999875</v>
      </c>
      <c r="D24" s="1">
        <f t="shared" si="0"/>
        <v>8.0693259632640685E-5</v>
      </c>
    </row>
    <row r="25" spans="1:4" x14ac:dyDescent="0.3">
      <c r="A25">
        <v>19</v>
      </c>
      <c r="B25">
        <f t="shared" si="1"/>
        <v>999.9999703146068</v>
      </c>
      <c r="C25">
        <f t="shared" si="2"/>
        <v>999.99999999999989</v>
      </c>
      <c r="D25" s="1">
        <f t="shared" si="0"/>
        <v>2.9685392820997113E-5</v>
      </c>
    </row>
    <row r="26" spans="1:4" x14ac:dyDescent="0.3">
      <c r="A26">
        <v>20</v>
      </c>
      <c r="B26">
        <f t="shared" si="1"/>
        <v>999.99998907935401</v>
      </c>
      <c r="C26">
        <f t="shared" si="2"/>
        <v>1000</v>
      </c>
      <c r="D26" s="1">
        <f t="shared" si="0"/>
        <v>1.0920645986255997E-5</v>
      </c>
    </row>
    <row r="27" spans="1:4" x14ac:dyDescent="0.3">
      <c r="A27">
        <v>21</v>
      </c>
      <c r="B27">
        <f t="shared" si="1"/>
        <v>999.99999598251884</v>
      </c>
      <c r="C27">
        <f t="shared" si="2"/>
        <v>1000</v>
      </c>
      <c r="D27" s="1">
        <f t="shared" si="0"/>
        <v>4.0174812123631841E-6</v>
      </c>
    </row>
    <row r="28" spans="1:4" x14ac:dyDescent="0.3">
      <c r="A28">
        <v>22</v>
      </c>
      <c r="B28">
        <f t="shared" si="1"/>
        <v>999.99999852205121</v>
      </c>
      <c r="C28">
        <f t="shared" si="2"/>
        <v>1000</v>
      </c>
      <c r="D28" s="1">
        <f t="shared" si="0"/>
        <v>1.4779488711189524E-6</v>
      </c>
    </row>
    <row r="29" spans="1:4" x14ac:dyDescent="0.3">
      <c r="A29">
        <v>23</v>
      </c>
      <c r="B29">
        <f t="shared" si="1"/>
        <v>999.99999945629304</v>
      </c>
      <c r="C29">
        <f t="shared" si="2"/>
        <v>1000</v>
      </c>
      <c r="D29" s="1">
        <f t="shared" si="0"/>
        <v>5.4370685687099304E-7</v>
      </c>
    </row>
    <row r="30" spans="1:4" x14ac:dyDescent="0.3">
      <c r="A30">
        <v>24</v>
      </c>
      <c r="B30">
        <f t="shared" si="1"/>
        <v>999.99999979998142</v>
      </c>
      <c r="C30">
        <f t="shared" si="2"/>
        <v>1000</v>
      </c>
      <c r="D30" s="1">
        <f t="shared" si="0"/>
        <v>2.0001866823487673E-7</v>
      </c>
    </row>
    <row r="31" spans="1:4" x14ac:dyDescent="0.3">
      <c r="A31">
        <v>25</v>
      </c>
      <c r="B31">
        <f t="shared" si="1"/>
        <v>999.99999992641733</v>
      </c>
      <c r="C31">
        <f t="shared" si="2"/>
        <v>1000</v>
      </c>
      <c r="D31" s="1">
        <f t="shared" si="0"/>
        <v>7.3582695484169733E-8</v>
      </c>
    </row>
    <row r="32" spans="1:4" x14ac:dyDescent="0.3">
      <c r="A32">
        <v>26</v>
      </c>
      <c r="B32">
        <f t="shared" ref="B32" si="3">$B$1*EXP(LN($H$1/$B$1)*EXP(-$E$1*A32))</f>
        <v>999.99999997293048</v>
      </c>
      <c r="C32">
        <f t="shared" ref="C32" si="4">$B$1*EXP(LN(B32/$B$1)*EXP(-$E$1*A32))</f>
        <v>1000</v>
      </c>
      <c r="D32" s="1">
        <f t="shared" si="0"/>
        <v>2.7069457785311432E-8</v>
      </c>
    </row>
  </sheetData>
  <hyperlinks>
    <hyperlink ref="N1" r:id="rId1" xr:uid="{5A6EBBB0-1D5E-40A0-B653-A97BD5CA63F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448D-B6F2-42AA-BE44-877E4E64D81E}">
  <dimension ref="A1:Q40"/>
  <sheetViews>
    <sheetView tabSelected="1" zoomScale="102" workbookViewId="0">
      <selection activeCell="C2" sqref="C2"/>
    </sheetView>
  </sheetViews>
  <sheetFormatPr defaultRowHeight="14.4" x14ac:dyDescent="0.3"/>
  <cols>
    <col min="1" max="1" width="8.77734375" customWidth="1"/>
    <col min="2" max="2" width="16.88671875" customWidth="1"/>
    <col min="3" max="3" width="15.77734375" customWidth="1"/>
    <col min="4" max="4" width="16.33203125" customWidth="1"/>
    <col min="5" max="5" width="15.77734375" customWidth="1"/>
    <col min="6" max="6" width="7.88671875" customWidth="1"/>
    <col min="7" max="7" width="7.44140625" customWidth="1"/>
    <col min="8" max="8" width="5.21875" customWidth="1"/>
    <col min="9" max="9" width="6.21875" customWidth="1"/>
    <col min="10" max="10" width="6.88671875" customWidth="1"/>
    <col min="11" max="11" width="5.77734375" customWidth="1"/>
    <col min="12" max="12" width="7.33203125" customWidth="1"/>
    <col min="14" max="14" width="5.88671875" customWidth="1"/>
    <col min="15" max="15" width="8" customWidth="1"/>
    <col min="17" max="17" width="48.6640625" customWidth="1"/>
  </cols>
  <sheetData>
    <row r="1" spans="1:17" x14ac:dyDescent="0.3">
      <c r="A1" s="1" t="s">
        <v>21</v>
      </c>
      <c r="B1" s="1">
        <v>1000</v>
      </c>
      <c r="C1" s="1"/>
      <c r="D1" s="1" t="s">
        <v>22</v>
      </c>
      <c r="E1" s="1">
        <v>1</v>
      </c>
      <c r="F1" s="1"/>
      <c r="G1" s="1" t="s">
        <v>5</v>
      </c>
      <c r="H1" s="1">
        <v>5</v>
      </c>
      <c r="I1" s="1"/>
      <c r="J1" s="1" t="s">
        <v>23</v>
      </c>
      <c r="K1">
        <f>$E$1*$N$1</f>
        <v>5</v>
      </c>
      <c r="M1" s="1" t="s">
        <v>24</v>
      </c>
      <c r="N1">
        <v>5</v>
      </c>
      <c r="P1" t="s">
        <v>8</v>
      </c>
      <c r="Q1" s="2" t="s">
        <v>18</v>
      </c>
    </row>
    <row r="2" spans="1:17" ht="79.8" x14ac:dyDescent="0.3">
      <c r="P2" t="s">
        <v>9</v>
      </c>
      <c r="Q2" s="3" t="s">
        <v>11</v>
      </c>
    </row>
    <row r="5" spans="1:17" x14ac:dyDescent="0.3">
      <c r="A5" s="1" t="s">
        <v>0</v>
      </c>
      <c r="B5" s="1" t="s">
        <v>20</v>
      </c>
      <c r="C5" s="1" t="s">
        <v>1</v>
      </c>
      <c r="D5" s="1" t="s">
        <v>2</v>
      </c>
      <c r="E5" s="1" t="s">
        <v>6</v>
      </c>
    </row>
    <row r="6" spans="1:17" x14ac:dyDescent="0.3">
      <c r="A6" s="1">
        <v>0</v>
      </c>
      <c r="B6">
        <f>A6+(1/$E$1)*LN(EXP(-$E$1*A6)+EXP(-$K$1)-EXP(-$E$1*A6-$K$1))</f>
        <v>-1.1102230246251565E-16</v>
      </c>
      <c r="C6">
        <f>($B$1*$H$1*EXP($E$1*B6))/($B$1-$H$1+$H$1*EXP(E1*B6))</f>
        <v>4.9999999999999991</v>
      </c>
      <c r="D6" s="1">
        <f>($B$1*C6*EXP($E$1*B6))/($B$1-C6+C6*EXP($E$1*B6))</f>
        <v>4.9999999999999982</v>
      </c>
      <c r="E6" s="1">
        <f>B6*$E$1*(1-(C6/$B$1))*C6</f>
        <v>-5.5233595475101524E-16</v>
      </c>
    </row>
    <row r="7" spans="1:17" x14ac:dyDescent="0.3">
      <c r="A7">
        <v>1</v>
      </c>
      <c r="B7">
        <f t="shared" ref="B7:B40" si="0">A7+(1/$E$1)*LN(EXP(-$E$1*A7)+EXP(-$K$1)-EXP(-$E$1*A7-$K$1))</f>
        <v>1.151118326688827E-2</v>
      </c>
      <c r="C7">
        <f>($B$1*$H$1*EXP($E$1*B7))/($B$1-$H$1+$H$1*EXP($E$1*B7))</f>
        <v>5.0575956830256414</v>
      </c>
      <c r="D7" s="1">
        <f t="shared" ref="D7:D38" si="1">($B$1*C7*EXP($E$1*B7))/($B$1-C7+C7*EXP($E$1*B7))</f>
        <v>5.1158514074114061</v>
      </c>
      <c r="E7" s="1">
        <f t="shared" ref="E7:E40" si="2">B7*$E$1*(1-(C7/$B$1))*C7</f>
        <v>5.7924463085213089E-2</v>
      </c>
    </row>
    <row r="8" spans="1:17" x14ac:dyDescent="0.3">
      <c r="A8">
        <v>2</v>
      </c>
      <c r="B8">
        <f t="shared" si="0"/>
        <v>4.2148271140494575E-2</v>
      </c>
      <c r="C8">
        <f t="shared" ref="C8:C40" si="3">($B$1*$H$1*EXP($E$1*B8))/($B$1-$H$1+$H$1*EXP($E$1*B8))</f>
        <v>5.2141232897122398</v>
      </c>
      <c r="D8" s="1">
        <f t="shared" si="1"/>
        <v>5.4373662261894919</v>
      </c>
      <c r="E8" s="1">
        <f t="shared" si="2"/>
        <v>0.21862039368457814</v>
      </c>
    </row>
    <row r="9" spans="1:17" x14ac:dyDescent="0.3">
      <c r="A9">
        <v>3</v>
      </c>
      <c r="B9">
        <f t="shared" si="0"/>
        <v>0.12097556631400819</v>
      </c>
      <c r="C9">
        <f t="shared" si="3"/>
        <v>5.6393606474009443</v>
      </c>
      <c r="D9" s="1">
        <f t="shared" si="1"/>
        <v>6.3599551223083752</v>
      </c>
      <c r="E9" s="1">
        <f t="shared" si="2"/>
        <v>0.67837753600794981</v>
      </c>
    </row>
    <row r="10" spans="1:17" x14ac:dyDescent="0.3">
      <c r="A10" s="1">
        <v>4</v>
      </c>
      <c r="B10">
        <f t="shared" si="0"/>
        <v>0.30832368165445745</v>
      </c>
      <c r="C10">
        <f t="shared" si="3"/>
        <v>6.7934405045897917</v>
      </c>
      <c r="D10" s="1">
        <f t="shared" si="1"/>
        <v>9.2242031611755291</v>
      </c>
      <c r="E10" s="1">
        <f t="shared" si="2"/>
        <v>2.0803491924594364</v>
      </c>
    </row>
    <row r="11" spans="1:17" x14ac:dyDescent="0.3">
      <c r="A11">
        <v>5</v>
      </c>
      <c r="B11">
        <f t="shared" si="0"/>
        <v>0.68977251929095917</v>
      </c>
      <c r="C11">
        <f t="shared" si="3"/>
        <v>9.9170590727329966</v>
      </c>
      <c r="D11" s="1">
        <f t="shared" si="1"/>
        <v>19.574484190153889</v>
      </c>
      <c r="E11" s="1">
        <f t="shared" si="2"/>
        <v>6.7726770309929405</v>
      </c>
    </row>
    <row r="12" spans="1:17" x14ac:dyDescent="0.3">
      <c r="A12">
        <v>6</v>
      </c>
      <c r="B12">
        <f t="shared" si="0"/>
        <v>1.3114479306121218</v>
      </c>
      <c r="C12">
        <f t="shared" si="3"/>
        <v>18.30948455323475</v>
      </c>
      <c r="D12" s="1">
        <f t="shared" si="1"/>
        <v>64.742201193233626</v>
      </c>
      <c r="E12" s="1">
        <f t="shared" si="2"/>
        <v>23.572289463441759</v>
      </c>
    </row>
    <row r="13" spans="1:17" x14ac:dyDescent="0.3">
      <c r="A13">
        <v>7</v>
      </c>
      <c r="B13">
        <f t="shared" si="0"/>
        <v>2.1261245053479936</v>
      </c>
      <c r="C13">
        <f t="shared" si="3"/>
        <v>40.419637636563358</v>
      </c>
      <c r="D13" s="1">
        <f t="shared" si="1"/>
        <v>260.94632526702708</v>
      </c>
      <c r="E13" s="1">
        <f t="shared" si="2"/>
        <v>82.46363231734864</v>
      </c>
    </row>
    <row r="14" spans="1:17" x14ac:dyDescent="0.3">
      <c r="A14" s="1">
        <v>8</v>
      </c>
      <c r="B14">
        <f t="shared" si="0"/>
        <v>3.0482677474859408</v>
      </c>
      <c r="C14">
        <f t="shared" si="3"/>
        <v>95.778416977226456</v>
      </c>
      <c r="D14" s="1">
        <f t="shared" si="1"/>
        <v>690.66512833787931</v>
      </c>
      <c r="E14" s="1">
        <f t="shared" si="2"/>
        <v>263.99495947038957</v>
      </c>
    </row>
    <row r="15" spans="1:17" x14ac:dyDescent="0.3">
      <c r="A15">
        <v>9</v>
      </c>
      <c r="B15">
        <f t="shared" si="0"/>
        <v>4.0180287304442537</v>
      </c>
      <c r="C15">
        <f t="shared" si="3"/>
        <v>218.35540967632838</v>
      </c>
      <c r="D15" s="1">
        <f t="shared" si="1"/>
        <v>939.50273861458084</v>
      </c>
      <c r="E15" s="1">
        <f t="shared" si="2"/>
        <v>685.78237641762348</v>
      </c>
    </row>
    <row r="16" spans="1:17" x14ac:dyDescent="0.3">
      <c r="A16">
        <v>10</v>
      </c>
      <c r="B16">
        <f t="shared" si="0"/>
        <v>5.006670251397459</v>
      </c>
      <c r="C16">
        <f t="shared" si="3"/>
        <v>428.82797814125684</v>
      </c>
      <c r="D16" s="1">
        <f t="shared" si="1"/>
        <v>991.16391201382032</v>
      </c>
      <c r="E16" s="1">
        <f t="shared" si="2"/>
        <v>1226.3064915024559</v>
      </c>
    </row>
    <row r="17" spans="1:5" x14ac:dyDescent="0.3">
      <c r="A17">
        <v>11</v>
      </c>
      <c r="B17">
        <f t="shared" si="0"/>
        <v>6.0024590245951659</v>
      </c>
      <c r="C17">
        <f t="shared" si="3"/>
        <v>670.21424197028375</v>
      </c>
      <c r="D17" s="1">
        <f t="shared" si="1"/>
        <v>998.78477882852178</v>
      </c>
      <c r="E17" s="1">
        <f t="shared" si="2"/>
        <v>1326.7061820870797</v>
      </c>
    </row>
    <row r="18" spans="1:5" x14ac:dyDescent="0.3">
      <c r="A18" s="1">
        <v>12</v>
      </c>
      <c r="B18">
        <f t="shared" si="0"/>
        <v>7.0009053278202718</v>
      </c>
      <c r="C18">
        <f t="shared" si="3"/>
        <v>846.52479938970566</v>
      </c>
      <c r="D18" s="1">
        <f t="shared" si="1"/>
        <v>999.83485240886318</v>
      </c>
      <c r="E18" s="1">
        <f t="shared" si="2"/>
        <v>909.56156455594794</v>
      </c>
    </row>
    <row r="19" spans="1:5" x14ac:dyDescent="0.3">
      <c r="A19">
        <v>13</v>
      </c>
      <c r="B19">
        <f t="shared" si="0"/>
        <v>8.0003331467989369</v>
      </c>
      <c r="C19">
        <f t="shared" si="3"/>
        <v>937.44009750019472</v>
      </c>
      <c r="D19" s="1">
        <f t="shared" si="1"/>
        <v>999.97762091740719</v>
      </c>
      <c r="E19" s="1">
        <f t="shared" si="2"/>
        <v>469.18882657300094</v>
      </c>
    </row>
    <row r="20" spans="1:5" x14ac:dyDescent="0.3">
      <c r="A20" s="1">
        <v>14</v>
      </c>
      <c r="B20">
        <f t="shared" si="0"/>
        <v>9.0001225707632635</v>
      </c>
      <c r="C20">
        <f t="shared" si="3"/>
        <v>976.03298205530643</v>
      </c>
      <c r="D20" s="1">
        <f t="shared" si="1"/>
        <v>999.99696998608727</v>
      </c>
      <c r="E20" s="1">
        <f t="shared" si="2"/>
        <v>210.53626720862701</v>
      </c>
    </row>
    <row r="21" spans="1:5" x14ac:dyDescent="0.3">
      <c r="A21">
        <v>15</v>
      </c>
      <c r="B21">
        <f t="shared" si="0"/>
        <v>10.000045093010737</v>
      </c>
      <c r="C21">
        <f t="shared" si="3"/>
        <v>991.04670701298312</v>
      </c>
      <c r="D21" s="1">
        <f t="shared" si="1"/>
        <v>999.99958986758725</v>
      </c>
      <c r="E21" s="1">
        <f t="shared" si="2"/>
        <v>88.731715433270367</v>
      </c>
    </row>
    <row r="22" spans="1:5" x14ac:dyDescent="0.3">
      <c r="A22">
        <v>16</v>
      </c>
      <c r="B22">
        <f t="shared" si="0"/>
        <v>11.000016589028018</v>
      </c>
      <c r="C22">
        <f t="shared" si="3"/>
        <v>996.68742629294024</v>
      </c>
      <c r="D22" s="1">
        <f t="shared" si="1"/>
        <v>999.99994449142969</v>
      </c>
      <c r="E22" s="1">
        <f t="shared" si="2"/>
        <v>36.317660957789521</v>
      </c>
    </row>
    <row r="23" spans="1:5" x14ac:dyDescent="0.3">
      <c r="A23">
        <v>17</v>
      </c>
      <c r="B23">
        <f t="shared" si="0"/>
        <v>12.000006102794355</v>
      </c>
      <c r="C23">
        <f t="shared" si="3"/>
        <v>998.77880235066743</v>
      </c>
      <c r="D23" s="1">
        <f t="shared" si="1"/>
        <v>999.9999924875741</v>
      </c>
      <c r="E23" s="1">
        <f t="shared" si="2"/>
        <v>14.636483351223193</v>
      </c>
    </row>
    <row r="24" spans="1:5" x14ac:dyDescent="0.3">
      <c r="A24">
        <v>18</v>
      </c>
      <c r="B24">
        <f t="shared" si="0"/>
        <v>13.000002245096907</v>
      </c>
      <c r="C24">
        <f t="shared" si="3"/>
        <v>999.55039769102746</v>
      </c>
      <c r="D24" s="1">
        <f t="shared" si="1"/>
        <v>999.99999898329588</v>
      </c>
      <c r="E24" s="1">
        <f t="shared" si="2"/>
        <v>5.8422031765184892</v>
      </c>
    </row>
    <row r="25" spans="1:5" x14ac:dyDescent="0.3">
      <c r="A25" s="1">
        <v>19</v>
      </c>
      <c r="B25">
        <f t="shared" si="0"/>
        <v>14.000000825925582</v>
      </c>
      <c r="C25">
        <f t="shared" si="3"/>
        <v>999.8345532987081</v>
      </c>
      <c r="D25" s="1">
        <f t="shared" si="1"/>
        <v>999.99999986240357</v>
      </c>
      <c r="E25" s="1">
        <f t="shared" si="2"/>
        <v>2.3158707381574755</v>
      </c>
    </row>
    <row r="26" spans="1:5" x14ac:dyDescent="0.3">
      <c r="A26">
        <v>20</v>
      </c>
      <c r="B26">
        <f t="shared" si="0"/>
        <v>15.000000303841121</v>
      </c>
      <c r="C26">
        <f t="shared" si="3"/>
        <v>999.93912916220074</v>
      </c>
      <c r="D26" s="1">
        <f t="shared" si="1"/>
        <v>999.99999998137832</v>
      </c>
      <c r="E26" s="1">
        <f t="shared" si="2"/>
        <v>0.91300700659949774</v>
      </c>
    </row>
    <row r="27" spans="1:5" x14ac:dyDescent="0.3">
      <c r="A27" s="1">
        <v>21</v>
      </c>
      <c r="B27">
        <f t="shared" si="0"/>
        <v>16.000000111776913</v>
      </c>
      <c r="C27">
        <f t="shared" si="3"/>
        <v>999.97760600423635</v>
      </c>
      <c r="D27" s="1">
        <f t="shared" si="1"/>
        <v>999.9999999974799</v>
      </c>
      <c r="E27" s="1">
        <f t="shared" si="2"/>
        <v>0.35829591086469775</v>
      </c>
    </row>
    <row r="28" spans="1:5" x14ac:dyDescent="0.3">
      <c r="A28">
        <v>22</v>
      </c>
      <c r="B28">
        <f t="shared" si="0"/>
        <v>17.00000004112043</v>
      </c>
      <c r="C28">
        <f t="shared" si="3"/>
        <v>999.9917615921504</v>
      </c>
      <c r="D28" s="1">
        <f t="shared" si="1"/>
        <v>999.99999999965894</v>
      </c>
      <c r="E28" s="1">
        <f t="shared" si="2"/>
        <v>0.14005177996845802</v>
      </c>
    </row>
    <row r="29" spans="1:5" x14ac:dyDescent="0.3">
      <c r="A29">
        <v>23</v>
      </c>
      <c r="B29">
        <f t="shared" si="0"/>
        <v>18.000000015127362</v>
      </c>
      <c r="C29">
        <f t="shared" si="3"/>
        <v>999.99696924326213</v>
      </c>
      <c r="D29" s="1">
        <f t="shared" si="1"/>
        <v>999.99999999995384</v>
      </c>
      <c r="E29" s="1">
        <f t="shared" si="2"/>
        <v>5.4553455989463567E-2</v>
      </c>
    </row>
    <row r="30" spans="1:5" x14ac:dyDescent="0.3">
      <c r="A30">
        <v>24</v>
      </c>
      <c r="B30">
        <f t="shared" si="0"/>
        <v>19.000000005565045</v>
      </c>
      <c r="C30">
        <f t="shared" si="3"/>
        <v>999.99888504475825</v>
      </c>
      <c r="D30" s="1">
        <f t="shared" si="1"/>
        <v>999.99999999999363</v>
      </c>
      <c r="E30" s="1">
        <f t="shared" si="2"/>
        <v>2.1184125981003943E-2</v>
      </c>
    </row>
    <row r="31" spans="1:5" x14ac:dyDescent="0.3">
      <c r="A31">
        <v>25</v>
      </c>
      <c r="B31">
        <f t="shared" si="0"/>
        <v>20.000000002047265</v>
      </c>
      <c r="C31">
        <f t="shared" si="3"/>
        <v>999.99958983059821</v>
      </c>
      <c r="D31" s="1">
        <f t="shared" si="1"/>
        <v>999.99999999999909</v>
      </c>
      <c r="E31" s="1">
        <f t="shared" si="2"/>
        <v>8.203384671593518E-3</v>
      </c>
    </row>
    <row r="32" spans="1:5" x14ac:dyDescent="0.3">
      <c r="A32" s="1">
        <v>26</v>
      </c>
      <c r="B32">
        <f t="shared" si="0"/>
        <v>21.000000000753147</v>
      </c>
      <c r="C32">
        <f t="shared" si="3"/>
        <v>999.99984910707042</v>
      </c>
      <c r="D32" s="1">
        <f t="shared" si="1"/>
        <v>999.99999999999977</v>
      </c>
      <c r="E32" s="1">
        <f t="shared" si="2"/>
        <v>3.1687510434809719E-3</v>
      </c>
    </row>
    <row r="33" spans="1:5" x14ac:dyDescent="0.3">
      <c r="A33">
        <v>27</v>
      </c>
      <c r="B33">
        <f t="shared" si="0"/>
        <v>22.000000000277069</v>
      </c>
      <c r="C33">
        <f t="shared" si="3"/>
        <v>999.99994448958819</v>
      </c>
      <c r="D33" s="1">
        <f t="shared" si="1"/>
        <v>999.99999999999989</v>
      </c>
      <c r="E33" s="1">
        <f t="shared" si="2"/>
        <v>1.2212289923243676E-3</v>
      </c>
    </row>
    <row r="34" spans="1:5" x14ac:dyDescent="0.3">
      <c r="A34" s="1">
        <v>28</v>
      </c>
      <c r="B34">
        <f t="shared" si="0"/>
        <v>23.000000000101927</v>
      </c>
      <c r="C34">
        <f t="shared" si="3"/>
        <v>999.99997957885989</v>
      </c>
      <c r="D34" s="1">
        <f t="shared" si="1"/>
        <v>1000</v>
      </c>
      <c r="E34" s="1">
        <f t="shared" si="2"/>
        <v>4.6968621299225331E-4</v>
      </c>
    </row>
    <row r="35" spans="1:5" x14ac:dyDescent="0.3">
      <c r="A35">
        <v>29</v>
      </c>
      <c r="B35">
        <f t="shared" si="0"/>
        <v>24.000000000037495</v>
      </c>
      <c r="C35">
        <f t="shared" si="3"/>
        <v>999.99999248748225</v>
      </c>
      <c r="D35" s="1">
        <f t="shared" si="1"/>
        <v>1000</v>
      </c>
      <c r="E35" s="1">
        <f t="shared" si="2"/>
        <v>1.8030042390229035E-4</v>
      </c>
    </row>
    <row r="36" spans="1:5" x14ac:dyDescent="0.3">
      <c r="A36">
        <v>30</v>
      </c>
      <c r="B36">
        <f t="shared" si="0"/>
        <v>25.000000000013795</v>
      </c>
      <c r="C36">
        <f t="shared" si="3"/>
        <v>999.99999723629924</v>
      </c>
      <c r="D36" s="1">
        <f t="shared" si="1"/>
        <v>1000</v>
      </c>
      <c r="E36" s="1">
        <f t="shared" si="2"/>
        <v>6.9092517627257133E-5</v>
      </c>
    </row>
    <row r="37" spans="1:5" x14ac:dyDescent="0.3">
      <c r="A37">
        <v>31</v>
      </c>
      <c r="B37">
        <f t="shared" si="0"/>
        <v>26.000000000005073</v>
      </c>
      <c r="C37">
        <f t="shared" si="3"/>
        <v>999.99999898329122</v>
      </c>
      <c r="D37" s="1">
        <f t="shared" si="1"/>
        <v>1000</v>
      </c>
      <c r="E37" s="1">
        <f t="shared" si="2"/>
        <v>2.6434429507334648E-5</v>
      </c>
    </row>
    <row r="38" spans="1:5" x14ac:dyDescent="0.3">
      <c r="A38">
        <v>32</v>
      </c>
      <c r="B38">
        <f t="shared" si="0"/>
        <v>27.000000000001869</v>
      </c>
      <c r="C38">
        <f t="shared" si="3"/>
        <v>999.9999996259736</v>
      </c>
      <c r="D38" s="1">
        <f t="shared" si="1"/>
        <v>1000</v>
      </c>
      <c r="E38" s="1">
        <f t="shared" si="2"/>
        <v>1.0098711862969671E-5</v>
      </c>
    </row>
    <row r="39" spans="1:5" x14ac:dyDescent="0.3">
      <c r="A39">
        <v>33</v>
      </c>
      <c r="B39">
        <f t="shared" si="0"/>
        <v>28.000000000000686</v>
      </c>
      <c r="C39">
        <f t="shared" si="3"/>
        <v>999.99999986240346</v>
      </c>
      <c r="D39" s="1">
        <f t="shared" ref="D39:D40" si="4">($B$1*C39*EXP($E$1*B39))/($B$1-C39+C39*EXP($E$1*B39))</f>
        <v>1000.0000000000001</v>
      </c>
      <c r="E39" s="1">
        <f t="shared" si="2"/>
        <v>3.8527017126839222E-6</v>
      </c>
    </row>
    <row r="40" spans="1:5" x14ac:dyDescent="0.3">
      <c r="A40">
        <v>34</v>
      </c>
      <c r="B40">
        <f t="shared" si="0"/>
        <v>29.000000000000252</v>
      </c>
      <c r="C40">
        <f t="shared" si="3"/>
        <v>999.99999994938105</v>
      </c>
      <c r="D40" s="1">
        <f t="shared" si="4"/>
        <v>1000</v>
      </c>
      <c r="E40" s="1">
        <f t="shared" si="2"/>
        <v>1.4679496506498719E-6</v>
      </c>
    </row>
  </sheetData>
  <hyperlinks>
    <hyperlink ref="Q1" r:id="rId1" xr:uid="{81E3016F-B169-4F50-A2CA-8BADB0454231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6B2A-50C3-4590-B154-8E450DF3B697}">
  <dimension ref="A1:N37"/>
  <sheetViews>
    <sheetView zoomScale="102" workbookViewId="0">
      <selection activeCell="C2" sqref="C2"/>
    </sheetView>
  </sheetViews>
  <sheetFormatPr defaultRowHeight="14.4" x14ac:dyDescent="0.3"/>
  <cols>
    <col min="1" max="1" width="7.44140625" customWidth="1"/>
    <col min="2" max="2" width="16.109375" customWidth="1"/>
    <col min="3" max="4" width="15.88671875" customWidth="1"/>
    <col min="14" max="14" width="57.6640625" customWidth="1"/>
  </cols>
  <sheetData>
    <row r="1" spans="1:14" x14ac:dyDescent="0.3">
      <c r="A1" s="1" t="s">
        <v>19</v>
      </c>
      <c r="B1" s="1">
        <v>1000</v>
      </c>
      <c r="C1" s="1"/>
      <c r="D1" s="1" t="s">
        <v>4</v>
      </c>
      <c r="E1" s="1">
        <v>1</v>
      </c>
      <c r="F1" s="1"/>
      <c r="G1" s="1" t="s">
        <v>5</v>
      </c>
      <c r="H1" s="1">
        <v>5</v>
      </c>
      <c r="I1" s="1"/>
      <c r="J1" s="1" t="s">
        <v>25</v>
      </c>
      <c r="K1">
        <v>1</v>
      </c>
      <c r="M1" t="s">
        <v>8</v>
      </c>
      <c r="N1" s="2" t="s">
        <v>18</v>
      </c>
    </row>
    <row r="2" spans="1:14" ht="66.599999999999994" x14ac:dyDescent="0.3">
      <c r="M2" t="s">
        <v>9</v>
      </c>
      <c r="N2" s="3" t="s">
        <v>11</v>
      </c>
    </row>
    <row r="5" spans="1:14" x14ac:dyDescent="0.3">
      <c r="A5" s="1" t="s">
        <v>0</v>
      </c>
      <c r="B5" s="1" t="s">
        <v>1</v>
      </c>
      <c r="C5" s="1" t="s">
        <v>2</v>
      </c>
      <c r="D5" s="1" t="s">
        <v>6</v>
      </c>
    </row>
    <row r="6" spans="1:14" x14ac:dyDescent="0.3">
      <c r="A6" s="1">
        <v>0</v>
      </c>
      <c r="B6" s="1">
        <f>$B$1*(1+(($B$1/$H$1)^$K$1-1)*EXP(-$E$1*$K$1*A6))^(-1/$K$1)</f>
        <v>5</v>
      </c>
      <c r="C6" s="1">
        <f>$B$1*(1+(($B$1/B6)^$K$1-1)*EXP(-$E$1*$K$1*A6))^(-1/$K$1)</f>
        <v>5</v>
      </c>
      <c r="D6" s="1">
        <f>$E$1*B6*(1-(B6/$B$1)^$K$1)</f>
        <v>4.9749999999999996</v>
      </c>
    </row>
    <row r="7" spans="1:14" x14ac:dyDescent="0.3">
      <c r="A7">
        <v>1</v>
      </c>
      <c r="B7">
        <f>$B$1*(1+(($B$1/$H$1)^$K$1-1)*EXP(-$E$1*$K$1*A7))^(-1/$K$1)</f>
        <v>13.475634453255298</v>
      </c>
      <c r="C7" s="1">
        <f>$B$1*(1+(($B$1/B7)^$K$1-1)*EXP(-$E$1*$K$1*A7))^(-1/$K$1)</f>
        <v>35.801588701431797</v>
      </c>
      <c r="D7" s="1">
        <f t="shared" ref="D7:D35" si="0">$E$1*B7*(1-(B7/$B$1)^$K$1)</f>
        <v>13.294041729337536</v>
      </c>
    </row>
    <row r="8" spans="1:14" x14ac:dyDescent="0.3">
      <c r="A8">
        <v>2</v>
      </c>
      <c r="B8">
        <f t="shared" ref="B8:B35" si="1">$B$1*(1+(($B$1/$H$1)^$K$1-1)*EXP(-$E$1*$K$1*A8))^(-1/$K$1)</f>
        <v>35.801588701431804</v>
      </c>
      <c r="C8" s="1">
        <f t="shared" ref="C8:C35" si="2">$B$1*(1+(($B$1/B8)^$K$1-1)*EXP(-$E$1*$K$1*A8))^(-1/$K$1)</f>
        <v>215.29396025171511</v>
      </c>
      <c r="D8" s="1">
        <f t="shared" si="0"/>
        <v>34.519834947885315</v>
      </c>
    </row>
    <row r="9" spans="1:14" x14ac:dyDescent="0.3">
      <c r="A9" s="1">
        <v>3</v>
      </c>
      <c r="B9">
        <f t="shared" si="1"/>
        <v>91.678972538610537</v>
      </c>
      <c r="C9" s="1">
        <f t="shared" si="2"/>
        <v>669.67050355238416</v>
      </c>
      <c r="D9" s="1">
        <f t="shared" si="0"/>
        <v>83.273938532875235</v>
      </c>
    </row>
    <row r="10" spans="1:14" x14ac:dyDescent="0.3">
      <c r="A10">
        <v>4</v>
      </c>
      <c r="B10">
        <f t="shared" si="1"/>
        <v>215.29396025171511</v>
      </c>
      <c r="C10" s="1">
        <f t="shared" si="2"/>
        <v>937.42055687184506</v>
      </c>
      <c r="D10" s="1">
        <f t="shared" si="0"/>
        <v>168.94247093084803</v>
      </c>
    </row>
    <row r="11" spans="1:14" x14ac:dyDescent="0.3">
      <c r="A11">
        <v>5</v>
      </c>
      <c r="B11">
        <f t="shared" si="1"/>
        <v>427.19498445583179</v>
      </c>
      <c r="C11" s="1">
        <f t="shared" si="2"/>
        <v>991.0463068879078</v>
      </c>
      <c r="D11" s="1">
        <f t="shared" si="0"/>
        <v>244.69942971161342</v>
      </c>
    </row>
    <row r="12" spans="1:14" x14ac:dyDescent="0.3">
      <c r="A12" s="1">
        <v>6</v>
      </c>
      <c r="B12">
        <f t="shared" si="1"/>
        <v>669.67050355238416</v>
      </c>
      <c r="C12" s="1">
        <f t="shared" si="2"/>
        <v>998.77879490702787</v>
      </c>
      <c r="D12" s="1">
        <f t="shared" si="0"/>
        <v>221.21192022428042</v>
      </c>
    </row>
    <row r="13" spans="1:14" x14ac:dyDescent="0.3">
      <c r="A13">
        <v>7</v>
      </c>
      <c r="B13">
        <f t="shared" si="1"/>
        <v>846.40714178589133</v>
      </c>
      <c r="C13" s="1">
        <f t="shared" si="2"/>
        <v>999.83455316208403</v>
      </c>
      <c r="D13" s="1">
        <f t="shared" si="0"/>
        <v>130.00209211972933</v>
      </c>
    </row>
    <row r="14" spans="1:14" x14ac:dyDescent="0.3">
      <c r="A14">
        <v>8</v>
      </c>
      <c r="B14">
        <f t="shared" si="1"/>
        <v>937.42055687184506</v>
      </c>
      <c r="C14" s="1">
        <f t="shared" si="2"/>
        <v>999.97760600173331</v>
      </c>
      <c r="D14" s="1">
        <f t="shared" si="0"/>
        <v>58.663256425924914</v>
      </c>
    </row>
    <row r="15" spans="1:14" x14ac:dyDescent="0.3">
      <c r="A15" s="1">
        <v>9</v>
      </c>
      <c r="B15">
        <f t="shared" si="1"/>
        <v>976.03011463916641</v>
      </c>
      <c r="C15" s="1">
        <f t="shared" si="2"/>
        <v>999.9969692432162</v>
      </c>
      <c r="D15" s="1">
        <f t="shared" si="0"/>
        <v>23.395329956622049</v>
      </c>
    </row>
    <row r="16" spans="1:14" x14ac:dyDescent="0.3">
      <c r="A16">
        <v>10</v>
      </c>
      <c r="B16">
        <f t="shared" si="1"/>
        <v>991.0463068879078</v>
      </c>
      <c r="C16" s="1">
        <f t="shared" si="2"/>
        <v>999.99958983059719</v>
      </c>
      <c r="D16" s="1">
        <f t="shared" si="0"/>
        <v>8.8735244917466272</v>
      </c>
    </row>
    <row r="17" spans="1:4" x14ac:dyDescent="0.3">
      <c r="A17">
        <v>11</v>
      </c>
      <c r="B17">
        <f t="shared" si="1"/>
        <v>996.68737152214487</v>
      </c>
      <c r="C17" s="1">
        <f t="shared" si="2"/>
        <v>999.99994448958796</v>
      </c>
      <c r="D17" s="1">
        <f t="shared" si="0"/>
        <v>3.3016549704227764</v>
      </c>
    </row>
    <row r="18" spans="1:4" x14ac:dyDescent="0.3">
      <c r="A18" s="1">
        <v>12</v>
      </c>
      <c r="B18">
        <f t="shared" si="1"/>
        <v>998.77879490702787</v>
      </c>
      <c r="C18" s="1">
        <f t="shared" si="2"/>
        <v>999.99999248748236</v>
      </c>
      <c r="D18" s="1">
        <f t="shared" si="0"/>
        <v>1.2197137510929765</v>
      </c>
    </row>
    <row r="19" spans="1:4" x14ac:dyDescent="0.3">
      <c r="A19">
        <v>13</v>
      </c>
      <c r="B19">
        <f t="shared" si="1"/>
        <v>999.55039668207939</v>
      </c>
      <c r="C19" s="1">
        <f t="shared" si="2"/>
        <v>999.99999898329133</v>
      </c>
      <c r="D19" s="1">
        <f t="shared" si="0"/>
        <v>0.44940117477716968</v>
      </c>
    </row>
    <row r="20" spans="1:4" x14ac:dyDescent="0.3">
      <c r="A20">
        <v>14</v>
      </c>
      <c r="B20">
        <f t="shared" si="1"/>
        <v>999.83455316208403</v>
      </c>
      <c r="C20" s="1">
        <f t="shared" si="2"/>
        <v>999.99999986240346</v>
      </c>
      <c r="D20" s="1">
        <f t="shared" si="0"/>
        <v>0.16541946525979598</v>
      </c>
    </row>
    <row r="21" spans="1:4" x14ac:dyDescent="0.3">
      <c r="A21" s="1">
        <v>15</v>
      </c>
      <c r="B21">
        <f t="shared" si="1"/>
        <v>999.93912914370685</v>
      </c>
      <c r="C21" s="1">
        <f t="shared" si="2"/>
        <v>999.99999998137821</v>
      </c>
      <c r="D21" s="1">
        <f t="shared" si="0"/>
        <v>6.0867151031992292E-2</v>
      </c>
    </row>
    <row r="22" spans="1:4" x14ac:dyDescent="0.3">
      <c r="A22">
        <v>16</v>
      </c>
      <c r="B22">
        <f t="shared" si="1"/>
        <v>999.97760600173331</v>
      </c>
      <c r="C22" s="1">
        <f t="shared" si="2"/>
        <v>999.99999999747979</v>
      </c>
      <c r="D22" s="1">
        <f t="shared" si="0"/>
        <v>2.2393496775487087E-2</v>
      </c>
    </row>
    <row r="23" spans="1:4" x14ac:dyDescent="0.3">
      <c r="A23">
        <v>17</v>
      </c>
      <c r="B23">
        <f t="shared" si="1"/>
        <v>999.9917615918115</v>
      </c>
      <c r="C23" s="1">
        <f t="shared" si="2"/>
        <v>999.99999999965894</v>
      </c>
      <c r="D23" s="1">
        <f t="shared" si="0"/>
        <v>8.2383403171627945E-3</v>
      </c>
    </row>
    <row r="24" spans="1:4" x14ac:dyDescent="0.3">
      <c r="A24" s="1">
        <v>18</v>
      </c>
      <c r="B24">
        <f t="shared" si="1"/>
        <v>999.9969692432162</v>
      </c>
      <c r="C24" s="1">
        <f t="shared" si="2"/>
        <v>999.99999999995384</v>
      </c>
      <c r="D24" s="1">
        <f t="shared" si="0"/>
        <v>3.030747598275063E-3</v>
      </c>
    </row>
    <row r="25" spans="1:4" x14ac:dyDescent="0.3">
      <c r="A25">
        <v>19</v>
      </c>
      <c r="B25">
        <f t="shared" si="1"/>
        <v>999.998885044752</v>
      </c>
      <c r="C25" s="1">
        <f t="shared" si="2"/>
        <v>999.99999999999375</v>
      </c>
      <c r="D25" s="1">
        <f t="shared" si="0"/>
        <v>1.1149540048908757E-3</v>
      </c>
    </row>
    <row r="26" spans="1:4" x14ac:dyDescent="0.3">
      <c r="A26">
        <v>20</v>
      </c>
      <c r="B26">
        <f t="shared" si="1"/>
        <v>999.99958983059719</v>
      </c>
      <c r="C26" s="1">
        <f t="shared" si="2"/>
        <v>999.99999999999909</v>
      </c>
      <c r="D26" s="1">
        <f t="shared" si="0"/>
        <v>4.1016923453688947E-4</v>
      </c>
    </row>
    <row r="27" spans="1:4" x14ac:dyDescent="0.3">
      <c r="A27" s="1">
        <v>21</v>
      </c>
      <c r="B27">
        <f t="shared" si="1"/>
        <v>999.99984910707019</v>
      </c>
      <c r="C27" s="1">
        <f t="shared" si="2"/>
        <v>999.99999999999977</v>
      </c>
      <c r="D27" s="1">
        <f t="shared" si="0"/>
        <v>1.5089290704906012E-4</v>
      </c>
    </row>
    <row r="28" spans="1:4" x14ac:dyDescent="0.3">
      <c r="A28">
        <v>22</v>
      </c>
      <c r="B28">
        <f t="shared" si="1"/>
        <v>999.99994448958796</v>
      </c>
      <c r="C28" s="1">
        <f t="shared" si="2"/>
        <v>1000</v>
      </c>
      <c r="D28" s="1">
        <f t="shared" si="0"/>
        <v>5.5510408963362187E-5</v>
      </c>
    </row>
    <row r="29" spans="1:4" x14ac:dyDescent="0.3">
      <c r="A29" s="1">
        <v>23</v>
      </c>
      <c r="B29">
        <f t="shared" si="1"/>
        <v>999.99997957885989</v>
      </c>
      <c r="C29" s="1">
        <f t="shared" si="2"/>
        <v>1000</v>
      </c>
      <c r="D29" s="1">
        <f t="shared" si="0"/>
        <v>2.0421139695224863E-5</v>
      </c>
    </row>
    <row r="30" spans="1:4" x14ac:dyDescent="0.3">
      <c r="A30">
        <v>24</v>
      </c>
      <c r="B30">
        <f t="shared" si="1"/>
        <v>999.99999248748236</v>
      </c>
      <c r="C30" s="1">
        <f t="shared" si="2"/>
        <v>1000</v>
      </c>
      <c r="D30" s="1">
        <f t="shared" si="0"/>
        <v>7.5125175515613926E-6</v>
      </c>
    </row>
    <row r="31" spans="1:4" x14ac:dyDescent="0.3">
      <c r="A31" s="1">
        <v>25</v>
      </c>
      <c r="B31">
        <f t="shared" si="1"/>
        <v>999.99999723629912</v>
      </c>
      <c r="C31" s="1">
        <f t="shared" si="2"/>
        <v>1000</v>
      </c>
      <c r="D31" s="1">
        <f t="shared" si="0"/>
        <v>2.763700816111062E-6</v>
      </c>
    </row>
    <row r="32" spans="1:4" x14ac:dyDescent="0.3">
      <c r="A32">
        <v>26</v>
      </c>
      <c r="B32">
        <f t="shared" si="1"/>
        <v>999.99999898329133</v>
      </c>
      <c r="C32" s="1">
        <f t="shared" si="2"/>
        <v>1000</v>
      </c>
      <c r="D32" s="1">
        <f t="shared" si="0"/>
        <v>1.0167087161826781E-6</v>
      </c>
    </row>
    <row r="33" spans="1:4" x14ac:dyDescent="0.3">
      <c r="A33">
        <v>27</v>
      </c>
      <c r="B33">
        <f t="shared" si="1"/>
        <v>999.99999962597383</v>
      </c>
      <c r="C33" s="1">
        <f t="shared" si="2"/>
        <v>1000</v>
      </c>
      <c r="D33" s="1">
        <f t="shared" si="0"/>
        <v>3.7402614325054235E-7</v>
      </c>
    </row>
    <row r="34" spans="1:4" x14ac:dyDescent="0.3">
      <c r="A34" s="1">
        <v>28</v>
      </c>
      <c r="B34">
        <f t="shared" si="1"/>
        <v>999.99999986240346</v>
      </c>
      <c r="C34" s="1">
        <f t="shared" si="2"/>
        <v>1000</v>
      </c>
      <c r="D34" s="1">
        <f t="shared" si="0"/>
        <v>1.3759648973870814E-7</v>
      </c>
    </row>
    <row r="35" spans="1:4" x14ac:dyDescent="0.3">
      <c r="A35" s="1">
        <v>29</v>
      </c>
      <c r="B35">
        <f t="shared" si="1"/>
        <v>999.99999994938116</v>
      </c>
      <c r="C35" s="1">
        <f t="shared" si="2"/>
        <v>1000</v>
      </c>
      <c r="D35" s="1">
        <f t="shared" si="0"/>
        <v>5.0618842448382344E-8</v>
      </c>
    </row>
    <row r="36" spans="1:4" x14ac:dyDescent="0.3">
      <c r="D36" s="1"/>
    </row>
    <row r="37" spans="1:4" x14ac:dyDescent="0.3">
      <c r="D37" s="1"/>
    </row>
  </sheetData>
  <hyperlinks>
    <hyperlink ref="N1" r:id="rId1" xr:uid="{BDEB1BE8-1552-4AD7-9AB7-64FD184B39C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E087-32F4-4830-99B4-CE1E00E7D88F}">
  <dimension ref="A1:N31"/>
  <sheetViews>
    <sheetView zoomScale="105" workbookViewId="0">
      <selection activeCell="C2" sqref="C2"/>
    </sheetView>
  </sheetViews>
  <sheetFormatPr defaultRowHeight="14.4" x14ac:dyDescent="0.3"/>
  <cols>
    <col min="1" max="1" width="12.33203125" customWidth="1"/>
    <col min="2" max="3" width="15.21875" customWidth="1"/>
    <col min="4" max="4" width="15.6640625" customWidth="1"/>
    <col min="14" max="14" width="55.21875" customWidth="1"/>
  </cols>
  <sheetData>
    <row r="1" spans="1:14" x14ac:dyDescent="0.3">
      <c r="A1" s="1" t="s">
        <v>26</v>
      </c>
      <c r="B1" s="1">
        <v>1000</v>
      </c>
      <c r="C1" s="1"/>
      <c r="D1" s="1" t="s">
        <v>3</v>
      </c>
      <c r="E1" s="1">
        <v>1</v>
      </c>
      <c r="F1" s="1"/>
      <c r="G1" s="1" t="s">
        <v>5</v>
      </c>
      <c r="H1" s="1">
        <v>5</v>
      </c>
      <c r="I1" s="1"/>
      <c r="J1" s="1"/>
      <c r="M1" t="s">
        <v>8</v>
      </c>
      <c r="N1" s="2" t="s">
        <v>18</v>
      </c>
    </row>
    <row r="2" spans="1:14" ht="66.599999999999994" x14ac:dyDescent="0.3">
      <c r="M2" t="s">
        <v>9</v>
      </c>
      <c r="N2" s="3" t="s">
        <v>11</v>
      </c>
    </row>
    <row r="5" spans="1:14" x14ac:dyDescent="0.3">
      <c r="A5" s="1" t="s">
        <v>0</v>
      </c>
      <c r="B5" s="1" t="s">
        <v>1</v>
      </c>
      <c r="C5" s="1" t="s">
        <v>2</v>
      </c>
      <c r="D5" s="1" t="s">
        <v>6</v>
      </c>
    </row>
    <row r="6" spans="1:14" x14ac:dyDescent="0.3">
      <c r="A6" s="1">
        <v>0</v>
      </c>
      <c r="B6" s="1">
        <f>$B$1-($B$1-$H$1)*EXP(-$E$1*A6)</f>
        <v>5</v>
      </c>
      <c r="C6" s="1">
        <f>$B$1-($B$1-B6)*EXP(-$E$1*A6)</f>
        <v>5</v>
      </c>
      <c r="D6" s="1">
        <f>$E$1*($B$1-B6)</f>
        <v>995</v>
      </c>
    </row>
    <row r="7" spans="1:14" x14ac:dyDescent="0.3">
      <c r="A7">
        <v>1</v>
      </c>
      <c r="B7" s="1">
        <f t="shared" ref="B7:B30" si="0">$B$1-($B$1-$H$1)*EXP(-$E$1*A7)</f>
        <v>633.95995603441486</v>
      </c>
      <c r="C7" s="1">
        <f t="shared" ref="C7:C22" si="1">$B$1-($B$1-B7)*EXP(-$E$1*A7)</f>
        <v>865.34139317957033</v>
      </c>
      <c r="D7" s="1">
        <f t="shared" ref="D7:D12" si="2">$E$1*($B$1-B7)</f>
        <v>366.04004396558514</v>
      </c>
    </row>
    <row r="8" spans="1:14" x14ac:dyDescent="0.3">
      <c r="A8" s="1">
        <v>2</v>
      </c>
      <c r="B8" s="1">
        <f t="shared" si="0"/>
        <v>865.34139317957033</v>
      </c>
      <c r="C8" s="1">
        <f t="shared" si="1"/>
        <v>981.77593930570947</v>
      </c>
      <c r="D8" s="1">
        <f t="shared" si="2"/>
        <v>134.65860682042967</v>
      </c>
    </row>
    <row r="9" spans="1:14" x14ac:dyDescent="0.3">
      <c r="A9">
        <v>3</v>
      </c>
      <c r="B9" s="1">
        <f t="shared" si="0"/>
        <v>950.46186697397536</v>
      </c>
      <c r="C9" s="1">
        <f t="shared" si="1"/>
        <v>997.53364158421698</v>
      </c>
      <c r="D9" s="1">
        <f t="shared" si="2"/>
        <v>49.538133026024639</v>
      </c>
    </row>
    <row r="10" spans="1:14" x14ac:dyDescent="0.3">
      <c r="A10" s="1">
        <v>4</v>
      </c>
      <c r="B10" s="1">
        <f t="shared" si="0"/>
        <v>981.77593930570947</v>
      </c>
      <c r="C10" s="1">
        <f t="shared" si="1"/>
        <v>999.66621468523704</v>
      </c>
      <c r="D10" s="1">
        <f t="shared" si="2"/>
        <v>18.224060694290529</v>
      </c>
    </row>
    <row r="11" spans="1:14" x14ac:dyDescent="0.3">
      <c r="A11">
        <v>5</v>
      </c>
      <c r="B11" s="1">
        <f t="shared" si="0"/>
        <v>993.29574273590993</v>
      </c>
      <c r="C11" s="1">
        <f t="shared" si="1"/>
        <v>999.95482706988628</v>
      </c>
      <c r="D11" s="1">
        <f t="shared" si="2"/>
        <v>6.7042572640900744</v>
      </c>
    </row>
    <row r="12" spans="1:14" x14ac:dyDescent="0.3">
      <c r="A12" s="1">
        <v>6</v>
      </c>
      <c r="B12" s="1">
        <f t="shared" si="0"/>
        <v>997.53364158421698</v>
      </c>
      <c r="C12" s="1">
        <f t="shared" si="1"/>
        <v>999.99388650870844</v>
      </c>
      <c r="D12" s="1">
        <f t="shared" si="2"/>
        <v>2.4663584157830201</v>
      </c>
    </row>
    <row r="13" spans="1:14" x14ac:dyDescent="0.3">
      <c r="A13" s="1">
        <v>7</v>
      </c>
      <c r="B13" s="1">
        <f t="shared" si="0"/>
        <v>999.09267744427325</v>
      </c>
      <c r="C13" s="1">
        <f t="shared" si="1"/>
        <v>999.9991726289245</v>
      </c>
      <c r="D13" s="1">
        <f t="shared" ref="D13:D22" si="3">$E$1*($B$1-B13)</f>
        <v>0.90732255572675058</v>
      </c>
    </row>
    <row r="14" spans="1:14" x14ac:dyDescent="0.3">
      <c r="A14">
        <v>8</v>
      </c>
      <c r="B14" s="1">
        <f t="shared" si="0"/>
        <v>999.66621468523704</v>
      </c>
      <c r="C14" s="1">
        <f t="shared" si="1"/>
        <v>999.99988802750113</v>
      </c>
      <c r="D14" s="1">
        <f t="shared" si="3"/>
        <v>0.33378531476296303</v>
      </c>
    </row>
    <row r="15" spans="1:14" x14ac:dyDescent="0.3">
      <c r="A15" s="1">
        <v>9</v>
      </c>
      <c r="B15" s="1">
        <f t="shared" si="0"/>
        <v>999.87720724493374</v>
      </c>
      <c r="C15" s="1">
        <f t="shared" si="1"/>
        <v>999.99998484617015</v>
      </c>
      <c r="D15" s="1">
        <f t="shared" si="3"/>
        <v>0.12279275506625709</v>
      </c>
    </row>
    <row r="16" spans="1:14" x14ac:dyDescent="0.3">
      <c r="A16" s="1">
        <v>10</v>
      </c>
      <c r="B16" s="1">
        <f t="shared" si="0"/>
        <v>999.95482706988628</v>
      </c>
      <c r="C16" s="1">
        <f t="shared" si="1"/>
        <v>999.99999794915209</v>
      </c>
      <c r="D16" s="1">
        <f t="shared" si="3"/>
        <v>4.5172930113722032E-2</v>
      </c>
    </row>
    <row r="17" spans="1:4" x14ac:dyDescent="0.3">
      <c r="A17">
        <v>11</v>
      </c>
      <c r="B17" s="1">
        <f t="shared" si="0"/>
        <v>999.98338180771373</v>
      </c>
      <c r="C17" s="1">
        <f t="shared" si="1"/>
        <v>999.99999972244791</v>
      </c>
      <c r="D17" s="1">
        <f t="shared" si="3"/>
        <v>1.661819228627337E-2</v>
      </c>
    </row>
    <row r="18" spans="1:4" x14ac:dyDescent="0.3">
      <c r="A18" s="1">
        <v>12</v>
      </c>
      <c r="B18" s="1">
        <f t="shared" si="0"/>
        <v>999.99388650870844</v>
      </c>
      <c r="C18" s="1">
        <f t="shared" si="1"/>
        <v>999.99999996243741</v>
      </c>
      <c r="D18" s="1">
        <f t="shared" si="3"/>
        <v>6.1134912915576933E-3</v>
      </c>
    </row>
    <row r="19" spans="1:4" x14ac:dyDescent="0.3">
      <c r="A19" s="1">
        <v>13</v>
      </c>
      <c r="B19" s="1">
        <f t="shared" si="0"/>
        <v>999.99775097224006</v>
      </c>
      <c r="C19" s="1">
        <f t="shared" si="1"/>
        <v>999.99999999491649</v>
      </c>
      <c r="D19" s="1">
        <f t="shared" si="3"/>
        <v>2.2490277599445108E-3</v>
      </c>
    </row>
    <row r="20" spans="1:4" x14ac:dyDescent="0.3">
      <c r="A20">
        <v>14</v>
      </c>
      <c r="B20" s="1">
        <f t="shared" si="0"/>
        <v>999.9991726289245</v>
      </c>
      <c r="C20" s="1">
        <f t="shared" si="1"/>
        <v>999.99999999931197</v>
      </c>
      <c r="D20" s="1">
        <f t="shared" si="3"/>
        <v>8.2737107550201472E-4</v>
      </c>
    </row>
    <row r="21" spans="1:4" x14ac:dyDescent="0.3">
      <c r="A21" s="1">
        <v>15</v>
      </c>
      <c r="B21" s="1">
        <f t="shared" si="0"/>
        <v>999.99969562719104</v>
      </c>
      <c r="C21" s="1">
        <f t="shared" si="1"/>
        <v>999.99999999990689</v>
      </c>
      <c r="D21" s="1">
        <f t="shared" si="3"/>
        <v>3.0437280895512231E-4</v>
      </c>
    </row>
    <row r="22" spans="1:4" x14ac:dyDescent="0.3">
      <c r="A22" s="1">
        <v>16</v>
      </c>
      <c r="B22" s="1">
        <f t="shared" si="0"/>
        <v>999.99988802750113</v>
      </c>
      <c r="C22" s="1">
        <f t="shared" si="1"/>
        <v>999.99999999998738</v>
      </c>
      <c r="D22" s="1">
        <f t="shared" si="3"/>
        <v>1.1197249887118232E-4</v>
      </c>
    </row>
    <row r="23" spans="1:4" x14ac:dyDescent="0.3">
      <c r="A23" s="1">
        <v>17</v>
      </c>
      <c r="B23" s="1">
        <f t="shared" si="0"/>
        <v>999.99995880761969</v>
      </c>
      <c r="C23" s="1">
        <f t="shared" ref="C23:C30" si="4">$B$1-($B$1-B23)*EXP(-$E$1*A23)</f>
        <v>999.99999999999829</v>
      </c>
      <c r="D23" s="1">
        <f t="shared" ref="D23:D30" si="5">$E$1*($B$1-B23)</f>
        <v>4.1192380308530119E-5</v>
      </c>
    </row>
    <row r="24" spans="1:4" x14ac:dyDescent="0.3">
      <c r="A24">
        <v>18</v>
      </c>
      <c r="B24" s="1">
        <f t="shared" si="0"/>
        <v>999.99998484617015</v>
      </c>
      <c r="C24" s="1">
        <f t="shared" si="4"/>
        <v>999.99999999999977</v>
      </c>
      <c r="D24" s="1">
        <f t="shared" si="5"/>
        <v>1.5153829849623435E-5</v>
      </c>
    </row>
    <row r="25" spans="1:4" x14ac:dyDescent="0.3">
      <c r="A25" s="1">
        <v>19</v>
      </c>
      <c r="B25" s="1">
        <f t="shared" si="0"/>
        <v>999.99999442521755</v>
      </c>
      <c r="C25" s="1">
        <f t="shared" si="4"/>
        <v>1000</v>
      </c>
      <c r="D25" s="1">
        <f t="shared" si="5"/>
        <v>5.5747824490026687E-6</v>
      </c>
    </row>
    <row r="26" spans="1:4" x14ac:dyDescent="0.3">
      <c r="A26">
        <v>20</v>
      </c>
      <c r="B26" s="1">
        <f t="shared" si="0"/>
        <v>999.99999794915209</v>
      </c>
      <c r="C26" s="1">
        <f t="shared" si="4"/>
        <v>1000</v>
      </c>
      <c r="D26" s="1">
        <f t="shared" si="5"/>
        <v>2.0508479110503686E-6</v>
      </c>
    </row>
    <row r="27" spans="1:4" x14ac:dyDescent="0.3">
      <c r="A27" s="1">
        <v>21</v>
      </c>
      <c r="B27" s="1">
        <f t="shared" si="0"/>
        <v>999.99999924553526</v>
      </c>
      <c r="C27" s="1">
        <f t="shared" si="4"/>
        <v>1000</v>
      </c>
      <c r="D27" s="1">
        <f t="shared" si="5"/>
        <v>7.5446473601914477E-7</v>
      </c>
    </row>
    <row r="28" spans="1:4" x14ac:dyDescent="0.3">
      <c r="A28" s="1">
        <v>22</v>
      </c>
      <c r="B28" s="1">
        <f t="shared" si="0"/>
        <v>999.99999972244791</v>
      </c>
      <c r="C28" s="1">
        <f t="shared" si="4"/>
        <v>1000</v>
      </c>
      <c r="D28" s="1">
        <f t="shared" si="5"/>
        <v>2.7755208975577261E-7</v>
      </c>
    </row>
    <row r="29" spans="1:4" x14ac:dyDescent="0.3">
      <c r="A29">
        <v>23</v>
      </c>
      <c r="B29" s="1">
        <f t="shared" si="0"/>
        <v>999.99999989789433</v>
      </c>
      <c r="C29" s="1">
        <f t="shared" si="4"/>
        <v>1000</v>
      </c>
      <c r="D29" s="1">
        <f t="shared" si="5"/>
        <v>1.0210567324975273E-7</v>
      </c>
    </row>
    <row r="30" spans="1:4" x14ac:dyDescent="0.3">
      <c r="A30" s="1">
        <v>24</v>
      </c>
      <c r="B30" s="1">
        <f t="shared" si="0"/>
        <v>999.99999996243741</v>
      </c>
      <c r="C30" s="1">
        <f t="shared" si="4"/>
        <v>1000</v>
      </c>
      <c r="D30" s="1">
        <f t="shared" si="5"/>
        <v>3.7562585930572823E-8</v>
      </c>
    </row>
    <row r="31" spans="1:4" x14ac:dyDescent="0.3">
      <c r="A31" s="1"/>
      <c r="B31" s="1"/>
      <c r="C31" s="1"/>
      <c r="D31" s="1"/>
    </row>
  </sheetData>
  <hyperlinks>
    <hyperlink ref="N1" r:id="rId1" xr:uid="{F20BC042-0222-4B1C-B672-FC8518772729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8688-34CB-4CA9-BDBA-A7DD203654CC}">
  <dimension ref="A3:C7"/>
  <sheetViews>
    <sheetView zoomScale="97" workbookViewId="0">
      <selection activeCell="A7" sqref="A7"/>
    </sheetView>
  </sheetViews>
  <sheetFormatPr defaultRowHeight="14.4" x14ac:dyDescent="0.3"/>
  <cols>
    <col min="1" max="1" width="22.6640625" customWidth="1"/>
    <col min="2" max="2" width="70.5546875" customWidth="1"/>
    <col min="3" max="3" width="77.21875" customWidth="1"/>
  </cols>
  <sheetData>
    <row r="3" spans="1:3" x14ac:dyDescent="0.3">
      <c r="B3" s="2" t="s">
        <v>12</v>
      </c>
    </row>
    <row r="4" spans="1:3" ht="43.2" x14ac:dyDescent="0.3">
      <c r="A4" t="s">
        <v>13</v>
      </c>
      <c r="B4" t="s">
        <v>14</v>
      </c>
      <c r="C4" s="4" t="s">
        <v>15</v>
      </c>
    </row>
    <row r="7" spans="1:3" x14ac:dyDescent="0.3">
      <c r="A7" t="s">
        <v>17</v>
      </c>
      <c r="B7" t="s">
        <v>16</v>
      </c>
    </row>
  </sheetData>
  <hyperlinks>
    <hyperlink ref="B3" r:id="rId1" xr:uid="{DA5B38BF-5A25-4679-BB8F-EB9BAC5FEE1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Logistic Model</vt:lpstr>
      <vt:lpstr>Gompertz Model</vt:lpstr>
      <vt:lpstr>Baranyi-Roberts Model</vt:lpstr>
      <vt:lpstr>Richard's Model</vt:lpstr>
      <vt:lpstr>Von Bertalanffy Model</vt:lpstr>
      <vt:lpstr>Cite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Ridima Singh</dc:creator>
  <cp:lastModifiedBy>Ridima Singh</cp:lastModifiedBy>
  <dcterms:created xsi:type="dcterms:W3CDTF">2026-05-27T07:55:39Z</dcterms:created>
  <dcterms:modified xsi:type="dcterms:W3CDTF">2026-06-02T09:26:33Z</dcterms:modified>
</cp:coreProperties>
</file>